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01_Projects\VISA ISS\VISA PHAP Y 2026\"/>
    </mc:Choice>
  </mc:AlternateContent>
  <xr:revisionPtr revIDLastSave="0" documentId="13_ncr:1_{9A33320C-8171-40AD-A66E-31C6B3169DD7}" xr6:coauthVersionLast="47" xr6:coauthVersionMax="47" xr10:uidLastSave="{00000000-0000-0000-0000-000000000000}"/>
  <bookViews>
    <workbookView xWindow="28680" yWindow="-120" windowWidth="29040" windowHeight="15720" tabRatio="500" activeTab="4" xr2:uid="{00000000-000D-0000-FFFF-FFFF00000000}"/>
  </bookViews>
  <sheets>
    <sheet name="Việc cần làm" sheetId="1" r:id="rId1"/>
    <sheet name="Lịch trình chi tiết" sheetId="2" r:id="rId2"/>
    <sheet name="Vé &amp; đặt trước" sheetId="3" r:id="rId3"/>
    <sheet name="5 điểm cần nói" sheetId="4" r:id="rId4"/>
    <sheet name="Văn hóa &amp; lịch sử" sheetId="5" r:id="rId5"/>
    <sheet name="Ẩm thực" sheetId="6" r:id="rId6"/>
    <sheet name="Rượu vang &amp; bia" sheetId="7" r:id="rId7"/>
    <sheet name="Tiếng Anh" sheetId="8" r:id="rId8"/>
    <sheet name="Từ vựng 4 thứ tiếng" sheetId="9" r:id="rId9"/>
    <sheet name="Lộ trình học" sheetId="10" r:id="rId10"/>
    <sheet name="Chụp ảnh &amp; chạy bộ" sheetId="11" r:id="rId11"/>
    <sheet name="Thời tiết &amp; hành lý" sheetId="12" r:id="rId12"/>
    <sheet name="Nguồn" sheetId="13" r:id="rId13"/>
  </sheets>
  <definedNames>
    <definedName name="_xlnm.Print_Titles" localSheetId="3">'5 điểm cần nói'!$4:$4</definedName>
    <definedName name="_xlnm.Print_Titles" localSheetId="5">'Ẩm thực'!$4:$4</definedName>
    <definedName name="_xlnm.Print_Titles" localSheetId="1">'Lịch trình chi tiết'!$4:$4</definedName>
    <definedName name="_xlnm.Print_Titles" localSheetId="9">'Lộ trình học'!$14:$14</definedName>
    <definedName name="_xlnm.Print_Titles" localSheetId="12">Nguồn!$4:$4</definedName>
    <definedName name="_xlnm.Print_Titles" localSheetId="6">'Rượu vang &amp; bia'!$4:$4</definedName>
    <definedName name="_xlnm.Print_Titles" localSheetId="7">'Tiếng Anh'!$4:$4</definedName>
    <definedName name="_xlnm.Print_Titles" localSheetId="8">'Từ vựng 4 thứ tiếng'!$19:$19</definedName>
    <definedName name="_xlnm.Print_Titles" localSheetId="4">'Văn hóa &amp; lịch sử'!$4:$4</definedName>
    <definedName name="_xlnm.Print_Titles" localSheetId="2">'Vé &amp; đặt trước'!$4:$4</definedName>
    <definedName name="_xlnm.Print_Titles" localSheetId="0">'Việc cần làm'!$5:$5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7" i="10" l="1"/>
  <c r="F36" i="10"/>
  <c r="B3" i="4"/>
  <c r="F3" i="1"/>
  <c r="D3" i="1"/>
</calcChain>
</file>

<file path=xl/sharedStrings.xml><?xml version="1.0" encoding="utf-8"?>
<sst xmlns="http://schemas.openxmlformats.org/spreadsheetml/2006/main" count="2400" uniqueCount="1868">
  <si>
    <t>Tổng hợp các việc cần phải chuẩn bị cho đi công tác (PHÁP - TÂY BAN NHA - BỒ ĐÀO NHA)</t>
  </si>
  <si>
    <t>Cập nhật 09/10/2026 theo lịch trình 31/10–12/11/2026, đoàn khoảng 8 người: Hà Nội → Paris → Barcelona → Madrid → Trujillo → Cáceres → Lisbon → Sintra → Porto → Hà Nội. File gốc ghi "Ý" nhưng lịch trình hiện tại không có Ý. Mục ghi "(Mới)" là việc đề xuất thêm. Cột Trạng thái chọn từ danh sách.</t>
  </si>
  <si>
    <t>Việc "1. Gấp" chưa xong:</t>
  </si>
  <si>
    <t>Tổng việc chưa xong:</t>
  </si>
  <si>
    <t>Stt</t>
  </si>
  <si>
    <t>Nội dung</t>
  </si>
  <si>
    <t>Nội dung chi tiết</t>
  </si>
  <si>
    <t>Người liên quan</t>
  </si>
  <si>
    <t>Thời gian dự kiến</t>
  </si>
  <si>
    <t>Ghi chú</t>
  </si>
  <si>
    <t>Ưu tiên</t>
  </si>
  <si>
    <t>Trạng thái</t>
  </si>
  <si>
    <t>A. GIẤY TỜ VÀ VISA (làm ngay trong tuần này)</t>
  </si>
  <si>
    <t>1</t>
  </si>
  <si>
    <t>Thủ tục xin visa</t>
  </si>
  <si>
    <t>Chị Hà</t>
  </si>
  <si>
    <t>Nộp BLS: 12–13/10
(chậm nhất 16/10)</t>
  </si>
  <si>
    <t>Theo ĐSQ Tây Ban Nha tại Hà Nội: nộp chậm nhất 15 ngày trước ngày đi (31/10 → hạn cuối 16/10); thời gian xét tối thiểu 15 ngày, có trường hợp tới 45 ngày. Nộp ngày 13/10 thì kết quả sớm nhất khoảng 28/10, sát ngày bay.</t>
  </si>
  <si>
    <t>1. Gấp</t>
  </si>
  <si>
    <t>Chưa làm</t>
  </si>
  <si>
    <t>1.0</t>
  </si>
  <si>
    <t>Nộp đúng nước</t>
  </si>
  <si>
    <t>Nộp hồ sơ vào ĐSQ Tây Ban Nha (qua Trung tâm BLS Hà Nội), không nộp Pháp dù nhập cảnh ở Paris.
Lý do: TBN có 5/10 đêm (Barcelona 2, Madrid 2, Cáceres 1), BĐN 4 đêm, Pháp 1 đêm; 2 triển lãm cũng ở TBN.</t>
  </si>
  <si>
    <t>09/10</t>
  </si>
  <si>
    <t>Quy tắc Schengen: nộp vào nước là điểm đến chính (ở lâu nhất hoặc mục đích chính). Nộp sai nước có thể bị trả hồ sơ.</t>
  </si>
  <si>
    <t>1.1</t>
  </si>
  <si>
    <t>Ảnh thẻ: 3,5 × 4,5 cm, nền sáng, chụp trong 6 tháng gần nhất. Chụp thêm 2 tấm dự phòng mang theo khi đi.</t>
  </si>
  <si>
    <t>Từng người</t>
  </si>
  <si>
    <t>10/10</t>
  </si>
  <si>
    <t>1.2</t>
  </si>
  <si>
    <t>Lấy xác nhận chuyển tiền qua STK để xác thực bảng lương (bản tiếng Anh, có dấu đỏ ngân hàng). Số tháng theo checklist của ĐSQ (thường 3–6 tháng gần nhất).</t>
  </si>
  <si>
    <t>12/10</t>
  </si>
  <si>
    <t>1.3</t>
  </si>
  <si>
    <t>Giấy tờ mang theo khi đến BLS: hộ chiếu cũ + mới, CCCD, bản gốc các giấy tờ đã nộp.
Kiểm tra hộ chiếu: còn hạn ít nhất đến 12/02/2027 (3 tháng sau ngày rời Schengen), còn ≥ 2 trang trống, cấp chưa quá 10 năm.</t>
  </si>
  <si>
    <t>Nơi nộp là Trung tâm BLS; ĐSQ chỉ nhận trực tiếp hồ sơ thân nhân công dân EU.</t>
  </si>
  <si>
    <t>1.4</t>
  </si>
  <si>
    <t>(Mới) Giấy tờ chứng minh mục đích công tác: công văn cử đi công tác bằng tiếng Anh, xác nhận đăng ký Barcelona Cybersecurity Congress (3–5/11) và TECNOSEC (5–6/11), thư mời của đối tác/hãng nếu có.</t>
  </si>
  <si>
    <t>aC + chị Hà</t>
  </si>
  <si>
    <t>11/10</t>
  </si>
  <si>
    <t>Đăng ký tham quan trên web 2 sự kiện ngay để có email xác nhận nộp kèm.</t>
  </si>
  <si>
    <t>1.5</t>
  </si>
  <si>
    <t>(Mới) Bảo hiểm du lịch Schengen: mức bồi thường tối thiểu €30.000, phủ đủ 31/10–12/11, có điều khoản hồi hương y tế.</t>
  </si>
  <si>
    <t>1.6</t>
  </si>
  <si>
    <t>(Mới) Lịch trình chi tiết bằng tiếng Anh nộp kèm hồ sơ (lấy từ sheet Lịch trình chi tiết).</t>
  </si>
  <si>
    <t>aC</t>
  </si>
  <si>
    <t>1.7</t>
  </si>
  <si>
    <t>(Mới) Đặt lịch hẹn nộp hồ sơ tại BLS cho cả 8 người, nộp cùng ngày.</t>
  </si>
  <si>
    <t>Đặt lịch 09/10</t>
  </si>
  <si>
    <t>1.8</t>
  </si>
  <si>
    <t>(Mới) Khi có visa: kiểm tra tên, số hộ chiếu, ngày hiệu lực (phải phủ cả ngày bay về và ngày nối chuyến), loại nhập cảnh.</t>
  </si>
  <si>
    <t>Khi nhận visa</t>
  </si>
  <si>
    <t>2. Cao</t>
  </si>
  <si>
    <t>2</t>
  </si>
  <si>
    <t>Đặt vé (giữ chỗ cho hồ sơ visa)</t>
  </si>
  <si>
    <t>Đặt vé máy bay giữ chỗ theo lịch trình =&gt; Phục vụ XNC.
Dùng booking giữ chỗ có mã đặt chỗ (PNR) thật, chưa xuất vé; tên khách, ngày bay khớp lịch trình nộp visa.</t>
  </si>
  <si>
    <t>Chị Hà ?</t>
  </si>
  <si>
    <t>Không dùng vé hoặc phòng tự tạo: ĐSQ có thể tra mã đặt chỗ, giấy tờ không thật có thể dẫn tới từ chối và ảnh hưởng các lần xin visa sau.</t>
  </si>
  <si>
    <t>3</t>
  </si>
  <si>
    <t>Đặt phòng (cho hồ sơ visa)</t>
  </si>
  <si>
    <t>Đặt phòng KS theo lịch trình =&gt; Phục vụ XNC.
Đề xuất: đặt luôn KS thật loại hủy miễn phí (mục 6) và nộp chính booking đó. Gộp mục 3 và mục 6, đỡ làm 2 lần và giữ được phòng đẹp sớm.</t>
  </si>
  <si>
    <t>B. ĐẶT CHỖ THẬT: MÁY BAY, KHÁCH SẠN, DI CHUYỂN</t>
  </si>
  <si>
    <t>4</t>
  </si>
  <si>
    <t>Kế hoạch đi chơi</t>
  </si>
  <si>
    <t>Lên kế hoạch đi lại cực kỳ chi tiết theo từng ngày từng giờ, địa điểm ăn chơi, việc cần làm mỗi ngày ….
=&gt; Đã chia giờ trong sheet Lịch trình chi tiết.</t>
  </si>
  <si>
    <t>Bản nháp 09/10, chốt 20/10</t>
  </si>
  <si>
    <t>- Đi chơi đâu vì sao đi những chỗ đó? Review các chỗ này thế nào? → sheet 5 điểm cần nói
- Có phải mua vé online trước không? Có thể mua qua Klook trước không? → sheet Vé &amp; đặt trước
- Địa điểm có gì đặc biệt? (tối thiểu nói được 5 điểm) → sheet 5 điểm cần nói
- Có phải xếp hàng không? Đi vào mấy giờ? → sheet Vé &amp; đặt trước
- Thời tiết chỗ đó thế nào? (mũ, ô...) → sheet Thời tiết &amp; hành lý</t>
  </si>
  <si>
    <t>5</t>
  </si>
  <si>
    <t>Đặt vé máy bay thật</t>
  </si>
  <si>
    <t>Đặt vé máy bay thật theo lịch trình =&gt; theo lịch di chuyển (chú ý vụ chỗ anh Trung trước đây).
5.1 Hà Nội → Paris (CDG) đêm 31/10; Porto → Hà Nội 11/11 có nối chuyến.
5.2 Chốt số người hạng thương gia / phổ thông; chọn chỗ ngồi cả đoàn ngay khi xuất vé.
5.3 Nối chuyến chiều về: tránh quá cảnh qua Anh (khách VN cần visa quá cảnh); nối chuyến trong Schengen thì visa phải còn hiệu lực ngày đó.
5.4 Paris → Barcelona 02/11 (bay ~1 giờ 40 phút): hãng giá rẻ tính riêng hành lý ký gửi, mua kèm khi đặt.</t>
  </si>
  <si>
    <t>aH, aC, KH</t>
  </si>
  <si>
    <t>Giữ chỗ 11/10; xuất vé sau khi có visa hoặc chọn hạng vé hoàn/đổi được</t>
  </si>
  <si>
    <t>Chú ý:
- Hạng vé là gì? Bao nhiêu người hạng thương gia, bao nhiêu người hạng phổ thông?
- Nếu xuất vé trước khi có visa: chọn hạng vé hoàn hoặc đổi được, đọc kỹ phí hoàn.</t>
  </si>
  <si>
    <t>6</t>
  </si>
  <si>
    <t>Đặt phòng KS thật</t>
  </si>
  <si>
    <t>Đặt phòng KS thật theo lịch trình =&gt; theo lịch di chuyển (chú ý các phần thanh toán).
- Paris 1 đêm (01/11): gần Eiffel (quận 7, 15) hoặc tiện ra sân bay sáng 02/11.
- Barcelona 2 đêm (02–03/11): Eixample, gần Passeig de Gràcia; metro L9 Sud đi Fira Gran Via.
- Madrid 2 đêm (04–05/11): quanh Sol, Ópera, Gran Vía; đi bộ ra Cung điện, Plaza Mayor.
- Cáceres 1 đêm (06/11): sát phố cổ, BẮT BUỘC có chỗ đậu xe (phố cổ hạn chế xe).
- Lisbon 2 đêm (07–08/11): Baixa hoặc Chiado.
- Porto 2 đêm (09–10/11): Ribeira hoặc Aliados; phố dốc, đường đá, chọn chỗ xe đón được tận cửa.</t>
  </si>
  <si>
    <t>11/10 (loại hủy miễn phí)</t>
  </si>
  <si>
    <t>Chú ý:
- Phòng KS 4 sao, bao gồm ăn sáng tại KS
- Đặt phòng hướng ra phía đẹp (ghi yêu cầu khi đặt, nhắc lại qua email trước 3 ngày)
- Ghi rõ hạn hủy miễn phí, thời điểm trừ tiền thẻ
- Thuế du lịch (city tax) vài euro/người/đêm thu tại quầy ở Paris, Barcelona, Lisbon, Porto</t>
  </si>
  <si>
    <t>7</t>
  </si>
  <si>
    <t>(Mới) Di chuyển trong châu Âu</t>
  </si>
  <si>
    <t>7.1 Barcelona → Madrid 04/11: tàu cao tốc AVE (Renfe), Iryo hoặc Ouigo, ~2,5–3 giờ. Đặt 8 ghế cùng toa; đến ga trước 30–45 phút vì soi chiếu hành lý.
7.2 Madrid → Trujillo → Cáceres → Lisbon (06–07/11): đề xuất thuê xe 9 chỗ có tài xế.
Nếu tự lái thuê xe: phí trả xe ở nước khác thường cao; phải báo hãng trước khi sang BĐN; cao tốc BĐN thu phí điện tử, cần gắn thiết bị Via Verde; người lái cần bằng lái quốc tế; xe 9 chỗ khó chứa 8 vali lớn.
7.3 Sintra 08/11: 8 người cần 2 xe Uber cỡ lớn mỗi chiều. Đề xuất thuê 1 xe 9 chỗ có tài xế cả ngày Lisbon → Sintra → Cabo da Roca → Cascais → Lisbon.
7.4 Lisbon → Porto 09/11: tàu Alfa Pendular (cp.pt), ~3 giờ.
7.5 Đón tiễn sân bay: CDG 01/11, Barcelona 02/11, Porto 11/11. Taxi Paris chở tối đa 4 khách, nên đặt trước xe 8–9 chỗ.</t>
  </si>
  <si>
    <t>Lấy báo giá xe 15/10; chốt 20/10</t>
  </si>
  <si>
    <t>Hỏi 2–3 nhà xe, báo giá phải gồm: phí cầu đường, nhiên liệu, chỗ ngủ tài xế ở Cáceres, phụ phí qua biên giới, số vali chở được.</t>
  </si>
  <si>
    <t>8</t>
  </si>
  <si>
    <t>(Mới) Vé tham quan, triển lãm, nhà hàng</t>
  </si>
  <si>
    <t>Chi tiết từng điểm trong sheet Vé &amp; đặt trước.
Mua ngay sau khi nộp visa (vé hay hết sớm): Sagrada Família, Cung điện Pena, tháp Eiffel.
Đặt bàn trước: bữa tối Fado (07/11), Botín (05/11), tour hầm rượu Port (10/11), bữa tối chia tay (10/11).</t>
  </si>
  <si>
    <t>Vé: 14/10
Nhà hàng: 23/10</t>
  </si>
  <si>
    <t>Vé tham quan rẻ so với tổng chuyến; chấp nhận rủi ro mất vé nếu visa chậm, đổi lại không bị hết chỗ.</t>
  </si>
  <si>
    <t>C. HẬU CẦN ĐOÀN 8 NGƯỜI (mới)</t>
  </si>
  <si>
    <t>9</t>
  </si>
  <si>
    <t>Phân vai trong đoàn</t>
  </si>
  <si>
    <t>Trưởng đoàn; thủ quỹ (giữ quỹ chung, ghi chi tiêu); người giữ booking (bản in + PDF); người dẫn đường (Google Maps); người chụp ảnh.
Mỗi người nhận "thuyết minh" 1 điểm đến (xem sheet Lộ trình học).</t>
  </si>
  <si>
    <t>Cả đoàn</t>
  </si>
  <si>
    <t>15/10</t>
  </si>
  <si>
    <t>3. Thường</t>
  </si>
  <si>
    <t>10</t>
  </si>
  <si>
    <t>Tiền và thanh toán</t>
  </si>
  <si>
    <t>- Thẻ Visa/Master quốc tế, báo ngân hàng mở chi tiêu nước ngoài; mỗi người 2 thẻ để 2 nơi.
- Tiền mặt €200–300/người.
- Khi máy POS hỏi trả bằng VND hay EUR: luôn chọn EUR.
- Rút tiền ở ATM của ngân hàng; tránh ATM Euronet (phí cao).
- Chia chi tiêu chung bằng app Splitwise hoặc 1 sheet quỹ.
- Hoàn thuế VAT: mang hộ chiếu khi mua sắm, xin phiếu tax-free; xác nhận tại hải quan sân bay Porto (điểm rời EU cuối cùng) trước khi ký gửi hành lý.</t>
  </si>
  <si>
    <t>Thủ quỹ</t>
  </si>
  <si>
    <t>28/10</t>
  </si>
  <si>
    <t>11</t>
  </si>
  <si>
    <t>Liên lạc và giấy tờ số</t>
  </si>
  <si>
    <t>- eSIM hoặc gói roaming EU: 1 gói dùng chung Pháp, TBN, BĐN.
- Cài WhatsApp: nhà hàng, tài xế, KS ở châu Âu liên lạc qua WhatsApp.
- Nhóm Zalo đoàn + 1 thư mục Google Drive chung: scan hộ chiếu, visa, vé, booking, bảo hiểm.</t>
  </si>
  <si>
    <t>Trưởng đoàn</t>
  </si>
  <si>
    <t>12</t>
  </si>
  <si>
    <t>App cài sẵn</t>
  </si>
  <si>
    <t>13</t>
  </si>
  <si>
    <t>An toàn</t>
  </si>
  <si>
    <t>- Móc túi: La Rambla và metro Barcelona, metro Paris và quanh Eiffel, tàu điện 28 ở Lisbon.
- Túi đeo chéo để trước ngực; không đặt điện thoại trên bàn quán ngoài trời.
- Số khẩn cấp chung châu Âu: 112.
- Lưu số ĐSQ Việt Nam tại Pháp, Tây Ban Nha, Bồ Đào Nha (tra trên cổng Bộ Ngoại giao).</t>
  </si>
  <si>
    <t>14</t>
  </si>
  <si>
    <t>(Mới) Chuẩn bị cho 2 triển lãm</t>
  </si>
  <si>
    <t>- Lấy danh sách exhibitor BCC và TECNOSEC, chọn 10–15 hãng cần gặp (LI, DPI, OSINT, PKI/HSM, C-UAS...).
- Email hẹn lịch gặp tại gian hàng.
- Danh thiếp 100+ tờ, company profile 1 trang tiếng Anh, câu giới thiệu 30 giây (sheet Tiếng Anh).</t>
  </si>
  <si>
    <t>aC + người đi triển lãm</t>
  </si>
  <si>
    <t>Gửi email hẹn: 20/10</t>
  </si>
  <si>
    <t>D. KIẾN THỨC VÀ KỸ NĂNG</t>
  </si>
  <si>
    <t>15</t>
  </si>
  <si>
    <t>Ăn gì?</t>
  </si>
  <si>
    <t>Xem kỹ mỗi chỗ sắp đến xem dự kiến ăn món gì tại đó?
- Vào nhà hàng thì gọi 1 số món tiếng Anh như thế nào?
- Tên các món ăn phổ biến tiếng Anh: các loại rau (rau húng, rau mùi...), các loại thịt...
=&gt; Sheet Ẩm thực (món theo từng thành phố) + sheet Tiếng Anh (bảng đọc thực đơn 4 thứ tiếng).</t>
  </si>
  <si>
    <t>Theo Lộ trình học</t>
  </si>
  <si>
    <t>16</t>
  </si>
  <si>
    <t>Skills</t>
  </si>
  <si>
    <t>Kỹ năng chụp ảnh =&gt; sheet Chụp ảnh &amp; chạy bộ (8 mẹo + điểm chụp từng ngày).</t>
  </si>
  <si>
    <t>Người chụp ảnh</t>
  </si>
  <si>
    <t>29/10</t>
  </si>
  <si>
    <t>17</t>
  </si>
  <si>
    <t>Knowledge</t>
  </si>
  <si>
    <t>Đọc nhiều về các địa điểm để xem trước dự kiến ăn gì; xem ít nhất 2 video dài YouTube + 1 video TikTok về địa điểm đó.
=&gt; Từ khóa tìm video có sẵn trong sheet 5 điểm cần nói và Lộ trình học.</t>
  </si>
  <si>
    <t>10/10–30/10</t>
  </si>
  <si>
    <t>18</t>
  </si>
  <si>
    <t>Đọc về những nền văn hóa: tôn giáo, văn hóa, ẩm thực.
=&gt; Sheet Văn hóa &amp; lịch sử (5 mốc lịch sử, tôn giáo, ứng xử, giờ ăn, liên hệ với Việt Nam, điều nên tránh).</t>
  </si>
  <si>
    <t>19</t>
  </si>
  <si>
    <t>Running</t>
  </si>
  <si>
    <t>Duy trì thói quen chạy bộ =&gt; vẫn phải vượt giới hạn đang có.
=&gt; Cung chạy từng thành phố trong sheet Chụp ảnh &amp; chạy bộ. Buổi dài nhất: Lisbon, Praça do Comércio → Belém ~7 km một chiều (khứ hồi ~14 km).</t>
  </si>
  <si>
    <t>Người chạy</t>
  </si>
  <si>
    <t>Trong chuyến</t>
  </si>
  <si>
    <t>20</t>
  </si>
  <si>
    <t>Ẩm thực: rượu vang</t>
  </si>
  <si>
    <t>Đọc kỹ về các loại rượu, điểm nổi bật đặc biệt: rượu này của nước nào, có gì đặc biệt?
=&gt; Sheet Rượu vang &amp; bia.</t>
  </si>
  <si>
    <t>21</t>
  </si>
  <si>
    <t>Ẩm thực: bia</t>
  </si>
  <si>
    <t>Đọc kỹ về các loại bia: bia của nước nào, bao nhiêu độ, có gì đặc biệt?
=&gt; Sheet Rượu vang &amp; bia.</t>
  </si>
  <si>
    <t>E. HÀNH LÝ</t>
  </si>
  <si>
    <t>22</t>
  </si>
  <si>
    <t>(Mới) Chuẩn bị hành lý</t>
  </si>
  <si>
    <t>Theo danh sách trong sheet Thời tiết &amp; hành lý. Mỗi người 1 vali cỡ trung + 1 balo: đoàn đi tàu, xe 9 chỗ, đường đá dốc ở Lisbon, Porto, Cáceres.</t>
  </si>
  <si>
    <t>Lịch trình chi tiết theo giờ (31/10–12/11/2026)</t>
  </si>
  <si>
    <t>Giờ là giờ địa phương, có thể xê dịch theo giờ bay và giờ tàu thực tế. Mặt trời mọc, lặn tính theo tọa độ từng thành phố. Dòng ghi "(Tùy chọn)" hoặc "(Đề xuất)" là phần thêm so với lịch trình gốc.</t>
  </si>
  <si>
    <t>Giờ</t>
  </si>
  <si>
    <t>Hoạt động</t>
  </si>
  <si>
    <t>Địa điểm / di chuyển</t>
  </si>
  <si>
    <t>Đặt trước</t>
  </si>
  <si>
    <t>31/10 (Thứ Bảy) · Hà Nội → Paris</t>
  </si>
  <si>
    <t>Nghỉ đêm trên máy bay. Sau ngày 25/10 châu Âu đã đổi sang giờ mùa đông: Pháp, TBN chậm hơn VN 6 tiếng; BĐN chậm hơn VN 7 tiếng.</t>
  </si>
  <si>
    <t>Trước giờ bay 3 tiếng</t>
  </si>
  <si>
    <t>Tập trung, kiểm tra giấy tờ cả đoàn: hộ chiếu, visa, bảo hiểm, vé, booking in sẵn</t>
  </si>
  <si>
    <t>Sân bay Nội Bài, nhà ga T2</t>
  </si>
  <si>
    <t>Thủ quỹ phát tiền mặt quỹ chung nếu cần.</t>
  </si>
  <si>
    <t>Đêm</t>
  </si>
  <si>
    <t>Bay Hà Nội → Paris CDG (bay thẳng khoảng 13–14 giờ)</t>
  </si>
  <si>
    <t>Vé máy bay</t>
  </si>
  <si>
    <t>Ngủ trên máy bay, chỉnh đồng hồ sang giờ Paris ngay khi lên máy bay.</t>
  </si>
  <si>
    <t>01/11 (Chủ nhật) · Paris · Nghỉ ngơi và tham quan nhẹ</t>
  </si>
  <si>
    <t>Lễ Các Thánh (Toussaint): nhiều cửa hàng đóng, tháp Eiffel và bảo tàng vẫn mở. Mặt trời mọc 07:37, lặn 17:30. Trung bình 6–12°C, hay mưa phùn.</t>
  </si>
  <si>
    <t>06:30–08:30</t>
  </si>
  <si>
    <t>Hạ cánh CDG. Nhập cảnh Schengen lần đầu: đăng ký EES (chụp ảnh, lấy vân tay)</t>
  </si>
  <si>
    <t>Sân bay CDG</t>
  </si>
  <si>
    <t>Dự trù 1–2 tiếng xếp hàng. Để sẵn vé chiều về, booking KS, bảo hiểm, xác nhận đăng ký triển lãm để trả lời biên phòng.</t>
  </si>
  <si>
    <t>09:00</t>
  </si>
  <si>
    <t>Xe 8–9 chỗ đón về KS, gửi hành lý</t>
  </si>
  <si>
    <t>CDG → KS (45–60 phút)</t>
  </si>
  <si>
    <t>Đặt xe trước</t>
  </si>
  <si>
    <t>Nhận phòng sớm không chắc chắn, hỏi KS trước.</t>
  </si>
  <si>
    <t>10:00</t>
  </si>
  <si>
    <t>Ăn sáng ở tiệm bánh (boulangerie), nghỉ ngơi</t>
  </si>
  <si>
    <t>Gần KS</t>
  </si>
  <si>
    <t>Croissant, pain au chocolat, café crème.</t>
  </si>
  <si>
    <t>12:00</t>
  </si>
  <si>
    <t>Ăn trưa kiểu bistro</t>
  </si>
  <si>
    <t>Steak frites, croque-monsieur, súp hành.</t>
  </si>
  <si>
    <t>13:30</t>
  </si>
  <si>
    <t>Du thuyền sông Seine khoảng 1 giờ</t>
  </si>
  <si>
    <t>Bến gần tháp Eiffel</t>
  </si>
  <si>
    <t>Nên mua trước</t>
  </si>
  <si>
    <t>Đi qua Louvre, Notre-Dame, Orsay; ngồi nghe thuyết minh, đỡ mệt sau chuyến bay đêm.</t>
  </si>
  <si>
    <t>15:00–17:00</t>
  </si>
  <si>
    <t>Tháp Eiffel: lên tầng 2 hoặc lên đỉnh</t>
  </si>
  <si>
    <t>Champ de Mars</t>
  </si>
  <si>
    <t>Bắt buộc (khung giờ)</t>
  </si>
  <si>
    <t>Chọn khung 15:00 để xuống kịp hoàng hôn.</t>
  </si>
  <si>
    <t>17:15–18:00</t>
  </si>
  <si>
    <t>Trocadéro: chụp Eiffel lúc hoàng hôn (17:30) và giờ xanh</t>
  </si>
  <si>
    <t>Quảng trường Trocadéro</t>
  </si>
  <si>
    <t>Khi trời tối, tháp nhấp nháy đèn 5 phút vào đầu mỗi giờ.</t>
  </si>
  <si>
    <t>18:30</t>
  </si>
  <si>
    <t>Khải Hoàn Môn, đi bộ một đoạn Champs-Élysées</t>
  </si>
  <si>
    <t>Metro số 6: Trocadéro → Charles de Gaulle–Étoile</t>
  </si>
  <si>
    <t>Lên nóc: nên mua trước</t>
  </si>
  <si>
    <t>18:30 hằng ngày có lễ thắp lại ngọn lửa ở Mộ Chiến sĩ Vô danh.</t>
  </si>
  <si>
    <t>20:00</t>
  </si>
  <si>
    <t>Ăn tối, về KS ngủ sớm</t>
  </si>
  <si>
    <t>Ngủ đúng giờ Paris để chống lệch múi giờ.</t>
  </si>
  <si>
    <t>Phương án B</t>
  </si>
  <si>
    <t>Thay du thuyền bằng bảo tàng Louvre 13:00–15:30</t>
  </si>
  <si>
    <t>Louvre</t>
  </si>
  <si>
    <t>Khách ngoài EU €32 từ 14/1/2026. Louvre đóng cửa Thứ Ba, Chủ nhật vẫn mở.</t>
  </si>
  <si>
    <t>02/11 (Thứ Hai) · Paris → Barcelona</t>
  </si>
  <si>
    <t>Barcelona: mặt trời mọc 07:24, lặn 17:45. Trung bình 11–18°C.</t>
  </si>
  <si>
    <t>08:00</t>
  </si>
  <si>
    <t>Trả phòng, ăn sáng</t>
  </si>
  <si>
    <t>Ra sân bay (CDG hoặc Orly tùy hãng)</t>
  </si>
  <si>
    <t>Xe 8–9 chỗ</t>
  </si>
  <si>
    <t>Chuyến bay trong Schengen: không qua cửa xuất nhập cảnh nhưng vẫn mang hộ chiếu.</t>
  </si>
  <si>
    <t>~11:00–13:00</t>
  </si>
  <si>
    <t>Bay Paris → Barcelona (~1 giờ 40 phút)</t>
  </si>
  <si>
    <t>Vé + hành lý ký gửi</t>
  </si>
  <si>
    <t>Check-in online trước 24 giờ.</t>
  </si>
  <si>
    <t>14:30</t>
  </si>
  <si>
    <t>Về KS, nhận phòng</t>
  </si>
  <si>
    <t>Sân bay BCN → KS (~30 phút)</t>
  </si>
  <si>
    <t>Xe đón</t>
  </si>
  <si>
    <t>16:30</t>
  </si>
  <si>
    <t>Khu phố cổ Gothic: Nhà thờ chính tòa (sân có 13 con ngỗng), Plaça Sant Jaume, cầu Pont del Bisbe, Plaça Reial</t>
  </si>
  <si>
    <t>Đi bộ</t>
  </si>
  <si>
    <t>Khu này và La Rambla nhiều móc túi: túi để trước ngực.</t>
  </si>
  <si>
    <t>17:45</t>
  </si>
  <si>
    <t>Hoàng hôn ở Port Vell: tượng Columbus, cầu gỗ Rambla de Mar</t>
  </si>
  <si>
    <t>Cuối La Rambla</t>
  </si>
  <si>
    <t>20:30–21:00</t>
  </si>
  <si>
    <t>Ăn tối tapas ở El Born hoặc hải sản ở Barceloneta</t>
  </si>
  <si>
    <t>Đặt bàn 8 người</t>
  </si>
  <si>
    <t>Người Barcelona ăn tối từ 21:00; đến 19:00 quán còn vắng.</t>
  </si>
  <si>
    <t>03/11 (Thứ Ba) · Barcelona · Barcelona Cybersecurity Congress</t>
  </si>
  <si>
    <t>Sự kiện 3–5/11/2026 tại Fira Barcelona Gran Via. Hoàng hôn 17:43.</t>
  </si>
  <si>
    <t>Ăn sáng</t>
  </si>
  <si>
    <t>KS</t>
  </si>
  <si>
    <t>Mang danh thiếp, company profile, sạc dự phòng.</t>
  </si>
  <si>
    <t>08:45</t>
  </si>
  <si>
    <t>Đi Fira Gran Via</t>
  </si>
  <si>
    <t>Metro L9 Sud (ga Fira) hoặc taxi 20–30 phút</t>
  </si>
  <si>
    <t>09:30–16:30</t>
  </si>
  <si>
    <t>Tham quan triển lãm, gặp các hãng đã hẹn</t>
  </si>
  <si>
    <t>Fira Barcelona Gran Via</t>
  </si>
  <si>
    <t>Bắt buộc đăng ký</t>
  </si>
  <si>
    <t>Theo danh sách hãng ở mục 14 sheet Việc cần làm. Ăn trưa trong hội chợ.</t>
  </si>
  <si>
    <t>10:00–13:00</t>
  </si>
  <si>
    <t>(Nhóm không đi triển lãm) Park Güell, khu Monumental</t>
  </si>
  <si>
    <t>Bus hoặc taxi</t>
  </si>
  <si>
    <t>Chiều: Bunkers del Carmel ngắm toàn cảnh thành phố; dạo Passeig de Gràcia xem Casa Batlló, Casa Milà từ bên ngoài.</t>
  </si>
  <si>
    <t>17:30</t>
  </si>
  <si>
    <t>Về KS nghỉ</t>
  </si>
  <si>
    <t>20:30</t>
  </si>
  <si>
    <t>Ăn tối: paella hải sản, fideuà hoặc tapas</t>
  </si>
  <si>
    <t>Barceloneta / Eixample</t>
  </si>
  <si>
    <t>Đặt bàn</t>
  </si>
  <si>
    <t>Tránh quán dán ảnh paella ngoài cửa (thường hâm lại).</t>
  </si>
  <si>
    <t>04/11 (Thứ Tư) · Barcelona → Madrid</t>
  </si>
  <si>
    <t>Madrid: mặt trời mọc 07:48, lặn 18:08. Trung bình 6–15°C, tối lạnh.</t>
  </si>
  <si>
    <t>07:45</t>
  </si>
  <si>
    <t>Trả phòng, gửi hành lý tại KS</t>
  </si>
  <si>
    <t>08:45–11:00</t>
  </si>
  <si>
    <t>Sagrada Família, có thể lên tháp mặt tiền</t>
  </si>
  <si>
    <t>Metro L2/L5, ga Sagrada Família</t>
  </si>
  <si>
    <t>Bắt buộc (khung 09:00)</t>
  </si>
  <si>
    <t>Đến trước 15 phút để qua soi chiếu. Nên mặc kín vai. Buổi sáng nắng chiếu qua kính màu xanh phía đông.</t>
  </si>
  <si>
    <t>11:15</t>
  </si>
  <si>
    <t>Chụp mặt tiền Giáng sinh phản chiếu qua hồ Plaça de Gaudí</t>
  </si>
  <si>
    <t>12:30</t>
  </si>
  <si>
    <t>Ăn trưa set "menú del día"</t>
  </si>
  <si>
    <t>Set trưa 2 món + đồ uống + tráng miệng, rẻ hơn gọi lẻ.</t>
  </si>
  <si>
    <t>14:00</t>
  </si>
  <si>
    <t>Lấy hành lý, ra ga Barcelona Sants</t>
  </si>
  <si>
    <t>Taxi / xe 8 chỗ</t>
  </si>
  <si>
    <t>~15:00–18:00</t>
  </si>
  <si>
    <t>Tàu cao tốc Barcelona Sants → Madrid (~2,5–3 giờ)</t>
  </si>
  <si>
    <t>AVE / Iryo / Ouigo</t>
  </si>
  <si>
    <t>Bắt buộc</t>
  </si>
  <si>
    <t>Có mặt trước 30–45 phút; soi chiếu hành lý như sân bay.</t>
  </si>
  <si>
    <t>Nhận phòng KS</t>
  </si>
  <si>
    <t>Ga Madrid Puerta de Atocha (hoặc Chamartín tùy hãng) → KS</t>
  </si>
  <si>
    <t>Dạo Gran Vía buổi tối, ngắm tòa Metropolis</t>
  </si>
  <si>
    <t>Sân thượng Círculo de Bellas Artes có góc nhìn Gran Vía (kiểm tra giờ mở).</t>
  </si>
  <si>
    <t>21:00</t>
  </si>
  <si>
    <t>Ăn tối</t>
  </si>
  <si>
    <t>05/11 (Thứ Năm) · Madrid · TECNOSEC + DRONExpo</t>
  </si>
  <si>
    <t>TECNOSEC 2026: 5–6/11 tại Madrid Arena (khu Casa de Campo). Hoàng hôn 18:06.</t>
  </si>
  <si>
    <t>08:30</t>
  </si>
  <si>
    <t>Ăn sáng, đi Madrid Arena</t>
  </si>
  <si>
    <t>Metro L10 (khu Casa de Campo) hoặc taxi 15–20 phút</t>
  </si>
  <si>
    <t>09:30–13:30</t>
  </si>
  <si>
    <t>Madrid Arena, Casa de Campo</t>
  </si>
  <si>
    <t>Ăn trưa kiểu Madrid: cocido madrileño</t>
  </si>
  <si>
    <t>14:00 là giờ ăn trưa bình thường của người Madrid.</t>
  </si>
  <si>
    <t>16:00–17:30</t>
  </si>
  <si>
    <t>Cung điện Hoàng gia</t>
  </si>
  <si>
    <t>Có thể đóng đột xuất khi có nghi lễ nhà nước; kiểm tra web hôm trước.</t>
  </si>
  <si>
    <t>Nhà thờ Almudena, quảng trường Oriente; hoàng hôn 18:06</t>
  </si>
  <si>
    <t>18:15</t>
  </si>
  <si>
    <t>Đi bộ Calle Mayor → Plaza Mayor (bánh mì kẹp mực chiên) → chợ San Miguel</t>
  </si>
  <si>
    <t>19:30</t>
  </si>
  <si>
    <t>Puerta del Sol: mốc Km 0, tượng Gấu và cây dâu</t>
  </si>
  <si>
    <t>Ăn tối: Botín (lợn sữa quay) hoặc tapas phố Cava Baja</t>
  </si>
  <si>
    <t>Botín: đặt bàn trước 1–2 tuần</t>
  </si>
  <si>
    <t>23:00</t>
  </si>
  <si>
    <t>Churros chấm sô-cô-la ở Chocolatería San Ginés</t>
  </si>
  <si>
    <t>Mở đến khuya.</t>
  </si>
  <si>
    <t>06/11 (Thứ Sáu) · Madrid → Trujillo → Cáceres bằng ô tô</t>
  </si>
  <si>
    <t>Cáceres: hoàng hôn 18:18. Thị trấn nhỏ: cửa hàng nghỉ trưa khoảng 14:00–17:00.</t>
  </si>
  <si>
    <t>Ăn sáng, trả phòng</t>
  </si>
  <si>
    <t>Rời Madrid đi Trujillo (~250 km, ~2,5 giờ, cao tốc A-5)</t>
  </si>
  <si>
    <t>Xe 9 chỗ</t>
  </si>
  <si>
    <t>Xe có tài xế</t>
  </si>
  <si>
    <t>Mua sẵn nước, đồ ăn nhẹ.</t>
  </si>
  <si>
    <t>11:30–14:30</t>
  </si>
  <si>
    <t>Trujillo: Plaza Mayor, tượng Pizarro, leo lên lâu đài ngắm toàn cảnh; ăn trưa</t>
  </si>
  <si>
    <t>Món nên thử: jamón ibérico, migas, phô mai Torta del Casar.</t>
  </si>
  <si>
    <t>Đi Cáceres (~47 km, ~40 phút)</t>
  </si>
  <si>
    <t>15:15</t>
  </si>
  <si>
    <t>Nhận phòng (KS có chỗ đậu xe)</t>
  </si>
  <si>
    <t>16:00–18:30</t>
  </si>
  <si>
    <t>Phố cổ UNESCO: cổng Arco de la Estrella, tháp Bujaco, Concatedral Santa María, Palacio de los Golfines, tháp Cigüeñas, Plaza San Mateo</t>
  </si>
  <si>
    <t>Đường đá dốc, đi giày đế chống trơn. Ngắm hoàng hôn 18:18 từ Plaza Mayor.</t>
  </si>
  <si>
    <t>19:00</t>
  </si>
  <si>
    <t>Giờ xanh: chụp phố cổ lên đèn</t>
  </si>
  <si>
    <t>Ăn tối, tapas quanh Plaza Mayor</t>
  </si>
  <si>
    <t>07/11 (Thứ Bảy) · Cáceres → Lisbon bằng ô tô</t>
  </si>
  <si>
    <t>Qua biên giới chỉnh đồng hồ lùi 1 tiếng. Lisbon: mặt trời mọc 07:10, lặn 17:29. Trung bình 12–18°C, mưa rào.</t>
  </si>
  <si>
    <t>Ăn sáng; dạo phố cổ lúc còn vắng để chụp ảnh</t>
  </si>
  <si>
    <t>10:00 (giờ TBN)</t>
  </si>
  <si>
    <t>Khởi hành đi Lisbon (~320 km, ~3,5 giờ chạy xe)</t>
  </si>
  <si>
    <t>~10:15 (giờ BĐN)</t>
  </si>
  <si>
    <t>(Tùy chọn) Dừng Elvas 30–45 phút: thị trấn pháo đài UNESCO, cầu dẫn nước Amoreira</t>
  </si>
  <si>
    <t>Ngay sau biên giới</t>
  </si>
  <si>
    <t>12:00–13:00</t>
  </si>
  <si>
    <t>Ăn trưa dọc đường</t>
  </si>
  <si>
    <t>13:30–14:30</t>
  </si>
  <si>
    <t>Đến Lisbon</t>
  </si>
  <si>
    <t>14:00–16:30</t>
  </si>
  <si>
    <t>(Đề xuất) Ghé Belém trước khi nhận phòng: bánh Pastéis de Belém, Tu viện Jerónimos, tháp Belém, tượng đài Khám phá</t>
  </si>
  <si>
    <t>Belém (phía tây Lisbon). Nhờ tài xế vào thành phố qua cầu 25 de Abril, Belém nằm gần đầu cầu</t>
  </si>
  <si>
    <t>Jerónimos: nên mua trước</t>
  </si>
  <si>
    <t>Jerónimos và tháp Belém đóng cửa Thứ Hai, nên không dời sang 09/11 được.</t>
  </si>
  <si>
    <t>Baixa / Chiado</t>
  </si>
  <si>
    <t>17:00</t>
  </si>
  <si>
    <t>Praça do Comércio, khải hoàn môn Rua Augusta lúc hoàng hôn 17:29</t>
  </si>
  <si>
    <t>18:00</t>
  </si>
  <si>
    <t>Dạo phố Rua Augusta, thang máy Santa Justa (ngắm bên ngoài, xếp hàng lâu)</t>
  </si>
  <si>
    <t>Ăn tối và nghe Fado ở Alfama</t>
  </si>
  <si>
    <t>Bắt buộc đặt bàn</t>
  </si>
  <si>
    <t>Giữ im lặng khi ca sĩ hát.</t>
  </si>
  <si>
    <t>08/11 (Chủ nhật) · Sintra và Cabo da Roca</t>
  </si>
  <si>
    <t>Chủ nhật đông khách, đi sớm. Trên núi Sintra lạnh và sương mù hơn Lisbon. Cabo da Roca: hoàng hôn 17:30.</t>
  </si>
  <si>
    <t>08:15</t>
  </si>
  <si>
    <t>Đi Sintra (~40 phút)</t>
  </si>
  <si>
    <t>Xe 9 chỗ có tài xế (đề xuất) hoặc 2 xe Uber cỡ lớn</t>
  </si>
  <si>
    <t>Đường lên Pena hẹp, xe cá nhân bị hạn chế.</t>
  </si>
  <si>
    <t>09:30–12:30</t>
  </si>
  <si>
    <t>Công viên và Cung điện Pena</t>
  </si>
  <si>
    <t>Từ cổng lên cung điện đi bộ dốc 20–40 phút hoặc đi xe nội khu (mất phí). Mang áo khoác.</t>
  </si>
  <si>
    <t>Xuống phố cổ Sintra ăn trưa; bánh travesseiros, queijadas ở tiệm Piriquita</t>
  </si>
  <si>
    <t>14:00–15:30</t>
  </si>
  <si>
    <t>(Tùy chọn) Quinta da Regaleira: giếng Khai tâm, đường hầm</t>
  </si>
  <si>
    <t>15:45</t>
  </si>
  <si>
    <t>Đi Cabo da Roca (~30 phút)</t>
  </si>
  <si>
    <t>16:30–17:35</t>
  </si>
  <si>
    <t>Cabo da Roca: điểm cực tây lục địa châu Âu, ngắm hoàng hôn trên Đại Tây Dương</t>
  </si>
  <si>
    <t>Gió rất mạnh: giữ mũ, điện thoại.</t>
  </si>
  <si>
    <t>17:40</t>
  </si>
  <si>
    <t>Về Lisbon theo đường ven biển qua Cascais (~50 phút)</t>
  </si>
  <si>
    <t>Ăn tối hải sản: bạch tuộc nướng, nghêu xào tỏi</t>
  </si>
  <si>
    <t>09/11 (Thứ Hai) · Lisbon → Porto</t>
  </si>
  <si>
    <t>Thứ Hai: nhiều bảo tàng ở BĐN nghỉ, vài nhà hàng nghỉ. Porto: hoàng hôn 17:20; tháng 11 là một trong những tháng mưa nhiều nhất.</t>
  </si>
  <si>
    <t>07:00</t>
  </si>
  <si>
    <t>(Tùy chọn) Chạy bộ ven sông Tejo</t>
  </si>
  <si>
    <t>Praça do Comércio → Cais do Sodré</t>
  </si>
  <si>
    <t>Alfama buổi sáng: Miradouro de Santa Luzia, Portas do Sol; đi một đoạn tàu điện 28</t>
  </si>
  <si>
    <t>Tàu điện 28 nhiều móc túi.</t>
  </si>
  <si>
    <t>11:00</t>
  </si>
  <si>
    <t>Trả phòng, ra ga Santa Apolónia hoặc Oriente</t>
  </si>
  <si>
    <t>Taxi</t>
  </si>
  <si>
    <t>~12:00–15:00</t>
  </si>
  <si>
    <t>Tàu Alfa Pendular Lisbon → Porto Campanhã (~3 giờ)</t>
  </si>
  <si>
    <t>Bắt buộc (cp.pt)</t>
  </si>
  <si>
    <t>15:30</t>
  </si>
  <si>
    <t>Về KS</t>
  </si>
  <si>
    <t>Tàu ngắn Campanhã → São Bento (~5 phút) hoặc taxi</t>
  </si>
  <si>
    <t>Dạo Ribeira, đi bộ tầng trên cầu Dom Luís I sang Jardim do Morro</t>
  </si>
  <si>
    <t>17:20</t>
  </si>
  <si>
    <t>Hoàng hôn ở Jardim do Morro / Serra do Pilar: góc nhìn đẹp nhất xuống Ribeira</t>
  </si>
  <si>
    <t>Ăn tối: francesinha (2 người chia 1 phần) hoặc bacalhau</t>
  </si>
  <si>
    <t>Gọi trước xem quán có mở Thứ Hai không.</t>
  </si>
  <si>
    <t>10/11 (Thứ Ba) · Porto · Phố cổ và rượu vang</t>
  </si>
  <si>
    <t>Mặt trời mọc 07:16, lặn 17:19.</t>
  </si>
  <si>
    <t>Ga São Bento: sảnh khoảng 20.000 viên gạch men azulejo</t>
  </si>
  <si>
    <t>Miễn phí</t>
  </si>
  <si>
    <t>09:45</t>
  </si>
  <si>
    <t>Nhà thờ chính tòa Sé: sân trước nhìn toàn cảnh</t>
  </si>
  <si>
    <t>10:30</t>
  </si>
  <si>
    <t>Hiệu sách Livraria Lello</t>
  </si>
  <si>
    <t>Khung giờ sớm vắng hơn; trưa xếp hàng dài.</t>
  </si>
  <si>
    <t>11:30</t>
  </si>
  <si>
    <t>Tháp Clérigos (leo hơn 200 bậc)</t>
  </si>
  <si>
    <t>Ăn trưa: bánh mì kẹp thịt heo quay (sandes de pernil) hoặc francesinha</t>
  </si>
  <si>
    <t>Đi bộ tầng dưới cầu Dom Luís I sang Vila Nova de Gaia</t>
  </si>
  <si>
    <t>14:30–16:00</t>
  </si>
  <si>
    <t>Tham quan hầm rượu Port và nếm rượu (Taylor's, Graham's, Sandeman, Cálem...)</t>
  </si>
  <si>
    <t>Bắt buộc đặt tour</t>
  </si>
  <si>
    <t>Đặt tour tiếng Anh cho nhóm 8.</t>
  </si>
  <si>
    <t>16:15</t>
  </si>
  <si>
    <t>Du thuyền 6 cây cầu trên sông Douro (~50 phút) nếu trời đẹp</t>
  </si>
  <si>
    <t>Không bắt buộc</t>
  </si>
  <si>
    <t>Hoàng hôn từ cáp treo Teleférico de Gaia hoặc Serra do Pilar</t>
  </si>
  <si>
    <t>Bữa tối chia tay đoàn ven sông</t>
  </si>
  <si>
    <t>22:00</t>
  </si>
  <si>
    <t>Thu xếp hành lý; để riêng hàng cần hoàn thuế để xuất trình hải quan</t>
  </si>
  <si>
    <t>11/11 (Thứ Tư) · Porto → Hà Nội</t>
  </si>
  <si>
    <t>Nghỉ đêm trên máy bay, về Hà Nội ngày 12/11.</t>
  </si>
  <si>
    <t>Sáng</t>
  </si>
  <si>
    <t>Trả phòng, ra sân bay Porto</t>
  </si>
  <si>
    <t>Metro tuyến E (~30 phút) hoặc xe 8–9 chỗ</t>
  </si>
  <si>
    <t>Hoàn thuế VAT: xuất trình hàng, hóa đơn, phiếu tax-free, hộ chiếu tại hải quan/kiosk TRƯỚC khi ký gửi hành lý</t>
  </si>
  <si>
    <t>Sân bay Porto</t>
  </si>
  <si>
    <t>Porto là điểm rời EU cuối cùng. Hỏi kỹ cửa hàng lúc mua về cách xác nhận phiếu của Pháp và TBN.</t>
  </si>
  <si>
    <t>Xuất cảnh Schengen (EES ghi nhận lượt ra), bay về Hà Nội có nối chuyến</t>
  </si>
  <si>
    <t>12/11 (Thứ Năm) · Về đến Hà Nội</t>
  </si>
  <si>
    <t>Vé tham quan, triển lãm, di chuyển và nhà hàng cần đặt trước</t>
  </si>
  <si>
    <t>Mua qua Klook được không? Klook, GetYourGuide thường bán vé Eiffel, Louvre, Sagrada Família, Park Güell, Cung điện Hoàng gia, Pena, du thuyền, tour hầm rượu; giá thường cao hơn web chính thức vì kèm phí dịch vụ hoặc hướng dẫn viên. Ưu tiên web chính thức cho vé theo khung giờ; dùng Klook khi web chính thức hết vé hoặc cần combo có hướng dẫn viên. Giá là giá người lớn tham khảo, kiểm tra lại lúc đặt.</t>
  </si>
  <si>
    <t>Ngày</t>
  </si>
  <si>
    <t>Địa điểm / dịch vụ</t>
  </si>
  <si>
    <t>Mua trước?</t>
  </si>
  <si>
    <t>Kênh mua</t>
  </si>
  <si>
    <t>Giá tham khảo</t>
  </si>
  <si>
    <t>Giờ mở cửa / thời gian</t>
  </si>
  <si>
    <t>Thời lượng</t>
  </si>
  <si>
    <t>Mẹo, xếp hàng</t>
  </si>
  <si>
    <t>01/11</t>
  </si>
  <si>
    <t>Xe 8–9 chỗ đón CDG → KS</t>
  </si>
  <si>
    <t>Nhà xe / KS / Klook</t>
  </si>
  <si>
    <t>1 giờ</t>
  </si>
  <si>
    <t>Taxi Paris tối đa 4 khách.</t>
  </si>
  <si>
    <t>Chưa đặt</t>
  </si>
  <si>
    <t>Tháp Eiffel</t>
  </si>
  <si>
    <t>toureiffel.paris</t>
  </si>
  <si>
    <t>~€36 lên đỉnh bằng thang máy</t>
  </si>
  <si>
    <t>Mở cả ngày đến tối muộn</t>
  </si>
  <si>
    <t>2–2,5 giờ</t>
  </si>
  <si>
    <t>Khung 15:00 để kịp hoàng hôn. Xếp hàng an ninh 15–30 phút.</t>
  </si>
  <si>
    <t>Du thuyền sông Seine</t>
  </si>
  <si>
    <t>Nên</t>
  </si>
  <si>
    <t>bateauxparisiens.com / bateaux-mouches.fr</t>
  </si>
  <si>
    <t>~€17–20</t>
  </si>
  <si>
    <t>Chạy cả ngày, 30–45 phút một chuyến</t>
  </si>
  <si>
    <t>~1 giờ</t>
  </si>
  <si>
    <t>01/11 (PA B)</t>
  </si>
  <si>
    <t>Bảo tàng Louvre</t>
  </si>
  <si>
    <t>louvre.fr</t>
  </si>
  <si>
    <t>€32 (khách ngoài EU, từ 14/1/2026)</t>
  </si>
  <si>
    <t>Đóng cửa Thứ Ba</t>
  </si>
  <si>
    <t>2–3 giờ</t>
  </si>
  <si>
    <t>Ưu tiên 3 tác phẩm: Mona Lisa, Vệ nữ Milo, Nữ thần Chiến thắng Samothrace.</t>
  </si>
  <si>
    <t>Nhà thờ Đức Bà (Notre-Dame)</t>
  </si>
  <si>
    <t>Không (miễn phí)</t>
  </si>
  <si>
    <t>notredamedeparis.fr</t>
  </si>
  <si>
    <t>45 phút</t>
  </si>
  <si>
    <t>Có thể đặt khung giờ miễn phí để bớt xếp hàng.</t>
  </si>
  <si>
    <t>Khải Hoàn Môn (lên nóc)</t>
  </si>
  <si>
    <t>paris-arc-de-triomphe.fr</t>
  </si>
  <si>
    <t>~€16</t>
  </si>
  <si>
    <t>Mở đến tối muộn</t>
  </si>
  <si>
    <t>284 bậc thang.</t>
  </si>
  <si>
    <t>02/11</t>
  </si>
  <si>
    <t>Vé máy bay Paris → Barcelona + hành lý ký gửi</t>
  </si>
  <si>
    <t>Web hãng bay</t>
  </si>
  <si>
    <t>1 giờ 40</t>
  </si>
  <si>
    <t>Mua hành lý ký gửi lúc đặt vé rẻ hơn ra quầy.</t>
  </si>
  <si>
    <t>03/11</t>
  </si>
  <si>
    <t>Barcelona Cybersecurity Congress</t>
  </si>
  <si>
    <t>barcelonacybersecuritycongress.com</t>
  </si>
  <si>
    <t>Theo loại vé</t>
  </si>
  <si>
    <t>3–5/11/2026, Fira Barcelona Gran Via</t>
  </si>
  <si>
    <t>1 ngày</t>
  </si>
  <si>
    <t>Sự kiện chuyên ngành. In email xác nhận nộp kèm hồ sơ visa.</t>
  </si>
  <si>
    <t>Park Güell (khu Monumental)</t>
  </si>
  <si>
    <t>parkguell.barcelona</t>
  </si>
  <si>
    <t>~€18</t>
  </si>
  <si>
    <t>1,5 giờ</t>
  </si>
  <si>
    <t>Khung sớm: ánh sáng đẹp, ít người.</t>
  </si>
  <si>
    <t>04/11</t>
  </si>
  <si>
    <t>Sagrada Família</t>
  </si>
  <si>
    <t>Bắt buộc (khung giờ), mua ngay</t>
  </si>
  <si>
    <t>sagradafamilia.org</t>
  </si>
  <si>
    <t>€26 cơ bản; €36 có lên tháp</t>
  </si>
  <si>
    <t>Tháng 11: Thứ Hai–Thứ Bảy 09:00–18:00; Chủ nhật 10:30–18:00</t>
  </si>
  <si>
    <t>1,5–2 giờ</t>
  </si>
  <si>
    <t>Tháp Chúa Giêsu chưa mở cho khách lên trong 2026; vé tháp là tháp mặt tiền Giáng sinh hoặc Thương khó. Vé hay hết trước 1–2 tuần.</t>
  </si>
  <si>
    <t>Tàu cao tốc Barcelona → Madrid</t>
  </si>
  <si>
    <t>renfe.com / iryo.eu / ouigo.com</t>
  </si>
  <si>
    <t>Tùy giờ và hãng</t>
  </si>
  <si>
    <t>2,5–3 giờ</t>
  </si>
  <si>
    <t>Đặt 8 ghế cùng toa; xem quy định hành lý từng hãng.</t>
  </si>
  <si>
    <t>05/11</t>
  </si>
  <si>
    <t>TECNOSEC + DRONExpo</t>
  </si>
  <si>
    <t>tecnosec.es (Registro de Visitantes)</t>
  </si>
  <si>
    <t>5–6/11/2026, Madrid Arena, Casa de Campo</t>
  </si>
  <si>
    <t>Nửa ngày</t>
  </si>
  <si>
    <t>In email xác nhận nộp kèm hồ sơ visa.</t>
  </si>
  <si>
    <t>Cung điện Hoàng gia Madrid</t>
  </si>
  <si>
    <t>patrimonionacional.es</t>
  </si>
  <si>
    <t>~€14</t>
  </si>
  <si>
    <t>Mùa đông thường 10:00–18:00 (Chủ nhật đóng sớm hơn); vào cửa cuối trước 1 giờ</t>
  </si>
  <si>
    <t>Có ngày đóng đột xuất vì nghi lễ, xem web hôm trước.</t>
  </si>
  <si>
    <t>Bữa tối nhà hàng Botín</t>
  </si>
  <si>
    <t>botin.es</t>
  </si>
  <si>
    <t>~€45–70/người</t>
  </si>
  <si>
    <t>2 giờ</t>
  </si>
  <si>
    <t>Đặt bàn 8 người; món chính: lợn sữa quay (cochinillo).</t>
  </si>
  <si>
    <t>06–07/11</t>
  </si>
  <si>
    <t>Xe 9 chỗ có tài xế Madrid → Trujillo → Cáceres → Lisbon</t>
  </si>
  <si>
    <t>Nhà xe (lấy 2–3 báo giá)</t>
  </si>
  <si>
    <t>2 ngày</t>
  </si>
  <si>
    <t>Báo giá gồm cầu đường, nhiên liệu, chỗ ngủ tài xế, chỗ để 8 vali.</t>
  </si>
  <si>
    <t>07/11</t>
  </si>
  <si>
    <t>Tu viện Jerónimos (nếu ghé Belém)</t>
  </si>
  <si>
    <t>Web Museus e Monumentos de Portugal</t>
  </si>
  <si>
    <t>Đóng cửa Thứ Hai</t>
  </si>
  <si>
    <t>Bữa tối + nghe Fado ở Alfama</t>
  </si>
  <si>
    <t>Nhà Fado ở Alfama (vd. Clube de Fado)</t>
  </si>
  <si>
    <t>~€40–70/người</t>
  </si>
  <si>
    <t>Hát từ khoảng 20:00–21:00</t>
  </si>
  <si>
    <t>2,5 giờ</t>
  </si>
  <si>
    <t>Đặt bàn 8 người, hỏi rõ giá đã gồm phí nghe hát chưa.</t>
  </si>
  <si>
    <t>08/11</t>
  </si>
  <si>
    <t>Xe 9 chỗ có tài xế cả ngày Sintra &amp; Cabo da Roca</t>
  </si>
  <si>
    <t>Nhà xe / KS</t>
  </si>
  <si>
    <t>~9 giờ</t>
  </si>
  <si>
    <t>Bắt buộc (khung giờ vào cung điện)</t>
  </si>
  <si>
    <t>parquesdesintra.pt</t>
  </si>
  <si>
    <t>€20 (công viên + cung điện)</t>
  </si>
  <si>
    <t>Mở 09:30</t>
  </si>
  <si>
    <t>3 giờ</t>
  </si>
  <si>
    <t>Chọn khung vào cung điện 09:30–10:00.</t>
  </si>
  <si>
    <t>Quinta da Regaleira (tùy chọn)</t>
  </si>
  <si>
    <t>regaleira.pt</t>
  </si>
  <si>
    <t>~€15–20</t>
  </si>
  <si>
    <t>09/11</t>
  </si>
  <si>
    <t>Tàu Alfa Pendular Lisbon → Porto</t>
  </si>
  <si>
    <t>cp.pt</t>
  </si>
  <si>
    <t>~€25–45/người tùy hạng</t>
  </si>
  <si>
    <t>~3 giờ</t>
  </si>
  <si>
    <t>Mua sớm giá tốt, chọn ghế cùng toa.</t>
  </si>
  <si>
    <t>10/11</t>
  </si>
  <si>
    <t>livrarialello.pt</t>
  </si>
  <si>
    <t>~€10–16 (được trừ khi mua sách)</t>
  </si>
  <si>
    <t>30–45 phút</t>
  </si>
  <si>
    <t>Tháp Clérigos</t>
  </si>
  <si>
    <t>torredosclerigos.pt</t>
  </si>
  <si>
    <t>~€10</t>
  </si>
  <si>
    <t>Tour hầm rượu Port + nếm rượu</t>
  </si>
  <si>
    <t>Web từng hãng (Taylor's, Graham's, Sandeman, Cálem...)</t>
  </si>
  <si>
    <t>~€20–35</t>
  </si>
  <si>
    <t>1–1,5 giờ</t>
  </si>
  <si>
    <t>Đặt tour tiếng Anh, ghi rõ nhóm 8 người.</t>
  </si>
  <si>
    <t>Du thuyền 6 cây cầu sông Douro</t>
  </si>
  <si>
    <t>Bến Ribeira / Gaia</t>
  </si>
  <si>
    <t>50 phút</t>
  </si>
  <si>
    <t>Chỉ đi khi trời không mưa.</t>
  </si>
  <si>
    <t>Bữa tối chia tay</t>
  </si>
  <si>
    <t>11/11</t>
  </si>
  <si>
    <t>Xe ra sân bay Porto</t>
  </si>
  <si>
    <t>Mỗi địa điểm: 5 điểm phải nói được ngay + 1 câu giới thiệu bằng tiếng Anh</t>
  </si>
  <si>
    <t>Cách dùng: đọc 5 điểm → xem video theo từ khóa → che cột D, tự nói lại → đọc to câu tiếng Anh 3 lần. Đánh dấu cột "Đã thuộc" khi nói trôi chảy không cần nhìn.</t>
  </si>
  <si>
    <t>Đã thuộc:</t>
  </si>
  <si>
    <t>Thành phố</t>
  </si>
  <si>
    <t>Địa điểm</t>
  </si>
  <si>
    <t>Ngày đến</t>
  </si>
  <si>
    <t>5 điểm cần nói được</t>
  </si>
  <si>
    <t>Câu giới thiệu bằng tiếng Anh</t>
  </si>
  <si>
    <t>Từ khóa tìm video</t>
  </si>
  <si>
    <t>Đã thuộc?</t>
  </si>
  <si>
    <t>Paris</t>
  </si>
  <si>
    <t>1. Xây 1887–1889 cho Triển lãm Thế giới 1889, dịp 100 năm Cách mạng Pháp; công ty của kỹ sư Gustave Eiffel làm xong trong khoảng 2 năm 2 tháng.
2. Cao 330 m tính cả ăng ten; là công trình cao nhất thế giới cho tới năm 1930 (bị tòa Chrysler ở New York vượt qua).
3. Khoảng 18.000 chi tiết sắt, 2,5 triệu đinh tán; sơn lại khoảng 7 năm một lần, mỗi lần chừng 60 tấn sơn.
4. Giấy phép ban đầu chỉ cho tồn tại 20 năm; tháp được giữ lại vì dùng làm trạm ăng ten vô tuyến, điện báo.
5. Có 3 tầng tham quan, tầng đỉnh cao 276 m. Khi trời tối, tháp nhấp nháy đèn 5 phút vào đầu mỗi giờ.</t>
  </si>
  <si>
    <t>The Eiffel Tower was built for the 1889 World's Fair and was only supposed to stand for 20 years.</t>
  </si>
  <si>
    <t>YouTube: "Eiffel Tower history", "Rick Steves Paris" · TikTok: #eiffeltowertips</t>
  </si>
  <si>
    <t>Chưa</t>
  </si>
  <si>
    <t>Sông Seine (du thuyền)</t>
  </si>
  <si>
    <t>1. Dài khoảng 777 km, chảy qua Paris rồi đổ ra biển Manche ở Le Havre.
2. Hai bờ sông đoạn từ cầu Sully đến cầu Iéna là Di sản UNESCO từ năm 1991.
3. Paris có 37 cây cầu bắc qua sông Seine; cầu cổ nhất còn lại lại tên là Pont Neuf ("Cầu Mới"), xong năm 1607.
4. Bờ trái (Rive Gauche, phía nam) gắn với đại học Sorbonne, giới trí thức; bờ phải (Rive Droite) có Louvre, Champs-Élysées.
5. Lễ khai mạc Olympic Paris 2024 tổ chức trên sông Seine, lần đầu một lễ khai mạc Olympic diễn ra ngoài sân vận động.</t>
  </si>
  <si>
    <t>Paris has 37 bridges over the Seine, and the oldest one is ironically called Pont Neuf, the New Bridge.</t>
  </si>
  <si>
    <t>YouTube: "Seine river cruise Paris" · TikTok: #seinecruise</t>
  </si>
  <si>
    <t>1. Khởi đầu là pháo đài vua Philippe Auguste xây khoảng năm 1190, sau thành cung điện hoàng gia; mở làm bảo tàng năm 1793 sau Cách mạng.
2. Bảo tàng nghệ thuật đông khách nhất thế giới, khoảng 8–9 triệu lượt mỗi năm; trưng bày khoảng 35.000 hiện vật.
3. Kim tự tháp kính do kiến trúc sư người Mỹ gốc Hoa I. M. Pei thiết kế, khánh thành năm 1989.
4. Ba tác phẩm nổi tiếng nhất: Mona Lisa (Leonardo da Vinci), tượng Vệ nữ thành Milo, tượng Nữ thần Chiến thắng Samothrace. Mona Lisa từng bị trộm năm 1911, tìm lại năm 1913.
5. Tháng 10/2025 bảo tàng bị trộm 8 món trang sức hoàng gia Pháp chỉ trong vài phút. Từ 14/1/2026 khách ngoài EU trả €32/vé. Đóng cửa Thứ Ba.</t>
  </si>
  <si>
    <t>The Louvre started as a 12th-century fortress and became a public museum in 1793.</t>
  </si>
  <si>
    <t>YouTube: "Louvre highlights in 2 hours" · TikTok: #louvretips</t>
  </si>
  <si>
    <t>1. Khởi công năm 1163, hoàn thành cơ bản khoảng năm 1345; tiêu biểu kiến trúc Gothic với cửa sổ hoa hồng và trụ chống bay.
2. Cháy ngày 15/4/2019, mất toàn bộ mái gỗ và ngọn tháp nhọn.
3. Mở cửa lại ngày 7/12/2024 sau hơn 5 năm trùng tu; quỹ quyên góp hơn €800 triệu từ khoảng 340.000 người ở 150 nước.
4. Tiểu thuyết "Nhà thờ Đức Bà Paris" của Victor Hugo (1831) giúp vận động trùng tu thế kỷ 19; kiến trúc sư Viollet-le-Duc thêm ngọn tháp nhọn.
5. Trên quảng trường trước nhà thờ có "Điểm 0" (Point Zéro), mốc tính khoảng cách đường bộ của nước Pháp. Vào cửa miễn phí.</t>
  </si>
  <si>
    <t>Notre-Dame reopened in December 2024, five years after the fire destroyed its roof and spire.</t>
  </si>
  <si>
    <t>YouTube: "Notre-Dame reopening 2024" · TikTok: #notredame</t>
  </si>
  <si>
    <t>Khải Hoàn Môn và Champs-Élysées</t>
  </si>
  <si>
    <t>1. Napoléon ra lệnh xây năm 1806 sau chiến thắng Austerlitz; công trình xong năm 1836, khi ông đã mất.
2. Cao 50 m; dưới vòm là Mộ Chiến sĩ Vô danh (Thế chiến I) từ 1921, ngọn lửa được thắp lại lúc 18:30 mỗi tối.
3. 12 đại lộ tỏa ra từ quảng trường Charles de Gaulle, tên cũ là Étoile ("ngôi sao").
4. Đại lộ Champs-Élysées dài khoảng 1,9 km, từ Place de la Concorde tới Khải Hoàn Môn; nơi về đích chặng cuối Tour de France và duyệt binh 14/7.
5. Leo 284 bậc lên nóc nhìn thẳng một trục: Louvre, Concorde, Khải Hoàn Môn, khu tài chính La Défense.</t>
  </si>
  <si>
    <t>Napoleon ordered the Arc de Triomphe after Austerlitz, but he died before it was finished in 1836.</t>
  </si>
  <si>
    <t>YouTube: "Arc de Triomphe rooftop view" · TikTok: #champselysees</t>
  </si>
  <si>
    <t>Barcelona</t>
  </si>
  <si>
    <t>Khu phố cổ Gothic (Barri Gòtic)</t>
  </si>
  <si>
    <t>1. Lõi cổ nhất Barcelona, nằm trên thành Barcino của người La Mã (thế kỷ 1 TCN); vẫn còn đoạn tường thành và 4 cột đền thờ Augustus.
2. Nhà thờ chính tòa Barcelona (thánh Eulàlia): sân trong nuôi 13 con ngỗng trắng, ứng với tuổi 13 của thánh Eulàlia khi tử đạo.
3. Quảng trường Sant Jaume: Tòa thị chính và trụ sở chính quyền Catalonia (Generalitat) đối diện nhau.
4. Cầu Pont del Bisbe trông như thời Trung cổ nhưng thực ra xây năm 1928.
5. Cột đèn ở Plaça Reial do Gaudí thiết kế khi mới ra trường (1879), một trong những công trình công cộng đầu tiên của ông.</t>
  </si>
  <si>
    <t>The Gothic Quarter sits on top of Barcino, the Roman town that became Barcelona.</t>
  </si>
  <si>
    <t>YouTube: "Barcelona Gothic Quarter walking tour" · TikTok: #gothicquarter</t>
  </si>
  <si>
    <t>Port Vell và tượng Columbus</t>
  </si>
  <si>
    <t>1. Cảng cổ được cải tạo lớn cho Olympic Barcelona 1992; bãi biển Barceloneta cũng được làm lại dịp này.
2. Tượng đài Columbus (Mirador de Colom) cao 60 m, dựng cho Triển lãm Thế giới 1888.
3. Người ta hay nói tượng chỉ tay về châu Mỹ; thực ra tay hướng ra Địa Trung Hải, về phía đông nam.
4. Năm 1493, sau chuyến đi đầu tiên, Columbus được vua Ferdinand và nữ hoàng Isabel tiếp tại Barcelona.
5. Cầu gỗ Rambla de Mar nối cuối phố La Rambla với khu mua sắm Maremagnum.</t>
  </si>
  <si>
    <t>The Columbus monument is 60 metres tall and was built for the 1888 World's Fair.</t>
  </si>
  <si>
    <t>YouTube: "Port Vell Barcelona" · TikTok: #barceloneta</t>
  </si>
  <si>
    <t>1. Khởi công 1882; Gaudí tiếp quản năm 1883 và làm 43 năm cho tới khi mất ngày 10/6/1926 (bị tàu điện đâm). Năm 2026 tròn 100 năm ngày mất của ông.
2. Ngày 20/2/2026 tháp trung tâm Chúa Giêsu đạt 172,5 m, nhà thờ cao nhất thế giới (vượt nhà thờ Ulm ở Đức, 161,5 m). Gaudí muốn tháp thấp hơn đồi Montjuïc một chút.
3. Xây hoàn toàn bằng tiền quyên góp và tiền vé; đến năm 2019 mới có giấy phép xây dựng, sau 137 năm thi công.
4. Thiết kế 18 tháp: 12 Tông đồ, 4 Thánh sử, Đức Mẹ và Chúa Giêsu. Cột bên trong phân nhánh như thân cây; kính màu phía đông tông xanh, phía tây tông đỏ cam.
5. Giáo hoàng Benedict XVI thánh hiến thành Vương cung thánh đường năm 2010. Mặt tiền Giáng sinh và hầm mộ là Di sản UNESCO; Gaudí an táng trong hầm mộ.</t>
  </si>
  <si>
    <t>Gaudí worked on the Sagrada Família for 43 years, and this year its central tower reached 172.5 metres, making it the tallest church in the world.</t>
  </si>
  <si>
    <t>YouTube: "Sagrada Familia documentary", "Sagrada Familia Tower of Jesus 2026" · TikTok: #sagradafamilia</t>
  </si>
  <si>
    <t>Park Güell</t>
  </si>
  <si>
    <t>03/11 (nhóm không đi triển lãm)</t>
  </si>
  <si>
    <t>1. Xây 1900–1914, vốn là dự án khu nhà ở cao cấp khoảng 60 căn của nhà tư bản Eusebi Güell; chỉ xây được 2 căn nên thất bại, thành công viên công cộng năm 1926.
2. Con kỳ nhông khảm gốm ("El Drac") ở cầu thang lối vào là biểu tượng của công viên.
3. Kỹ thuật trencadís: ghép mảnh gốm vỡ; đẹp nhất ở băng ghế uốn lượn quanh Quảng trường Thiên nhiên.
4. Gaudí sống trong một căn nhà ở đây từ 1906 đến 1925, nay là Nhà Bảo tàng Gaudí.
5. Thuộc Di sản UNESCO "Các công trình của Antoni Gaudí" (1984); khu Monumental bán vé theo khung giờ.</t>
  </si>
  <si>
    <t>Park Güell was planned as a luxury housing estate, but only two houses were ever built.</t>
  </si>
  <si>
    <t>YouTube: "Park Guell guide" · TikTok: #parkguell</t>
  </si>
  <si>
    <t>Madrid</t>
  </si>
  <si>
    <t>Gran Vía</t>
  </si>
  <si>
    <t>1. Mở đường 1910–1929, phá khoảng 300 tòa nhà cũ; được gọi là "Broadway của Tây Ban Nha" vì có nhiều nhà hát nhạc kịch.
2. Tòa Metropolis (1911) với mái vòm và tượng nữ thần Chiến thắng có cánh, góc chụp nổi tiếng nhất phố.
3. Tòa Telefónica (1929) cao 89 m, tòa nhà chọc trời đầu tiên của Madrid.
4. Biển đèn neon Schweppes trên tòa Carrión ở quảng trường Callao là biểu tượng về đêm.
5. Dài khoảng 1,3 km, từ phố Alcalá tới Plaza de España.</t>
  </si>
  <si>
    <t>Gran Vía was cut through central Madrid between 1910 and 1929 and is known as Spain's Broadway.</t>
  </si>
  <si>
    <t>YouTube: "Gran Via Madrid history" · TikTok: #granvia</t>
  </si>
  <si>
    <t>Cung điện Hoàng gia (Palacio Real)</t>
  </si>
  <si>
    <t>1. Cung điện hoàng gia lớn nhất Tây Âu tính theo diện tích sàn: khoảng 135.000 m², hơn 3.000 phòng.
2. Xây 1738–1755 trên nền lâu đài Alcázar cũ bị cháy đêm Giáng sinh 1734; vua Carlos III là người đầu tiên ở (1764).
3. Gia đình hoàng gia không sống ở đây mà ở cung Zarzuela; cung điện dùng cho quốc yến, nghi lễ nhà nước.
4. Có bộ ngũ tấu đàn dây Stradivarius trang trí còn đủ bộ duy nhất thế giới, và kho vũ khí Hoàng gia (Real Armería).
5. Đối diện là Nhà thờ chính tòa Almudena, xây hơn 100 năm (1883–1993), Giáo hoàng Gioan Phaolô II thánh hiến năm 1993.</t>
  </si>
  <si>
    <t>The Royal Palace has more than 3,000 rooms, but the royal family actually lives in a smaller palace outside the city centre.</t>
  </si>
  <si>
    <t>YouTube: "Royal Palace of Madrid tour" · TikTok: #palacioreal</t>
  </si>
  <si>
    <t>Plaza Mayor</t>
  </si>
  <si>
    <t>1. Xong năm 1619 thời vua Felipe III (tượng ông cưỡi ngựa ở giữa); bị cháy 3 lần, bản hiện nay do kiến trúc sư Juan de Villanueva xây lại sau 1790.
2. Từng là nơi đấu bò, lễ đăng quang, hành quyết và các phiên xử của Tòa án dị giáo.
3. 237 ban công nhìn vào quảng trường; 9 cổng vào, nổi tiếng nhất là cổng Arco de Cuchilleros.
4. Mặt tiền tòa Casa de la Panadería được vẽ tranh tường năm 1992.
5. Món nên ăn quanh đây: bánh mì kẹp mực chiên. Cạnh cổng Cuchilleros là nhà hàng Botín (1725), được Guinness ghi nhận là nhà hàng lâu đời nhất thế giới.</t>
  </si>
  <si>
    <t>Plaza Mayor was finished in 1619 and once hosted bullfights, coronations and executions.</t>
  </si>
  <si>
    <t>YouTube: "Plaza Mayor Madrid history" · TikTok: #bocadillodecalamares</t>
  </si>
  <si>
    <t>Puerta del Sol</t>
  </si>
  <si>
    <t>1. Tấm "Kilómetro Cero" trên vỉa hè trước tòa Real Casa de Correos là mốc tính các quốc lộ hướng tâm của Tây Ban Nha.
2. Tượng "Con gấu và cây dâu" (El Oso y el Madroño) là hình trên huy hiệu Madrid.
3. Đêm Giao thừa, người TBN ăn 12 quả nho theo 12 tiếng chuông đồng hồ trên tòa nhà này, truyền hình trực tiếp toàn quốc.
4. Tòa Real Casa de Correos (thế kỷ 18) nay là trụ sở chính quyền vùng Madrid.
5. Gần đó là Chocolatería San Ginés (từ 1894), quán churros chấm sô-cô-la nổi tiếng nhất Madrid.</t>
  </si>
  <si>
    <t>Kilometre Zero in Puerta del Sol is the point from which Spain's national roads are measured.</t>
  </si>
  <si>
    <t>YouTube: "Puerta del Sol Kilometro Cero" · TikTok: #sanGines</t>
  </si>
  <si>
    <t>Trujillo</t>
  </si>
  <si>
    <t>Plaza Mayor và tượng Pizarro</t>
  </si>
  <si>
    <t>06/11</t>
  </si>
  <si>
    <t>1. Quê của Francisco Pizarro, người chinh phục đế chế Inca (Peru) thế kỷ 16; tượng đồng ông cưỡi ngựa đặt ở Plaza Mayor từ 1929.
2. Vùng Extremadura được gọi là "cái nôi của những người chinh phục": Hernán Cortés (Mexico) quê Medellín; Francisco de Orellana, người đầu tiên đi dọc sông Amazon, quê Trujillo.
3. Lâu đài trên đỉnh đồi có gốc từ thời Hồi giáo (thế kỷ 9–10), nhìn được toàn cảnh thị trấn.
4. Nhiều dinh thự quanh quảng trường xây bằng của cải mang về từ châu Mỹ, ví dụ Palacio de la Conquista có huy hiệu gia tộc Pizarro.
5. Trujillo có Hội chợ Phô mai quốc gia mỗi mùa xuân; vùng này nổi tiếng phô mai sữa cừu, sữa dê.</t>
  </si>
  <si>
    <t>Trujillo is the hometown of Francisco Pizarro, who conquered the Inca Empire.</t>
  </si>
  <si>
    <t>YouTube: "Trujillo Spain" · TikTok: #trujillo</t>
  </si>
  <si>
    <t>Cáceres</t>
  </si>
  <si>
    <t>Phố cổ (Ciudad Monumental)</t>
  </si>
  <si>
    <t>1. Di sản UNESCO từ năm 1986; giữ lớp La Mã, Hồi giáo, Gothic và Phục hưng trong một khu phố nhỏ đi bộ được.
2. Tường thành thời Almohad (Hồi giáo, thế kỷ 12) còn nhiều tháp, nổi bật là tháp Bujaco cạnh Plaza Mayor; vào phố cổ qua cổng Arco de la Estrella.
3. Năm 1477 nữ hoàng Isabel ra lệnh cắt ngọn các tháp nhà quý tộc để giảm thế lực của họ; chỉ tháp Cigüeñas (tháp Cò) được giữ nguyên.
4. Phim Game of Thrones mùa 7 quay các cảnh King's Landing ở đây.
5. Cò trắng làm tổ trên tháp chuông. Năm 2021, nhà hàng Atrio trong phố cổ bị trộm 45 chai rượu trị giá khoảng €1,6 triệu.</t>
  </si>
  <si>
    <t>Cáceres's old town has been a UNESCO World Heritage Site since 1986 and was used to film Game of Thrones.</t>
  </si>
  <si>
    <t>YouTube: "Caceres Game of Thrones filming locations" · TikTok: #caceres</t>
  </si>
  <si>
    <t>Lisbon</t>
  </si>
  <si>
    <t>Praça do Comércio và khu Baixa</t>
  </si>
  <si>
    <t>1. Ngày 1/11/1755 (lễ Các Thánh), động đất mạnh khoảng 8,5–9 độ, sóng thần và hỏa hoạn tàn phá Lisbon, hàng chục nghìn người chết; cung điện hoàng gia nằm đúng chỗ quảng trường bị phá hủy.
2. Hầu tước Pombal cho xây lại Baixa theo ô bàn cờ, nhà có khung gỗ chống động đất ("gaiola pombalina"), một trong những thiết kế chống động đất sớm nhất thế giới.
3. Khải hoàn môn Rua Augusta xong năm 1873, trên nóc có đài ngắm cảnh.
4. Năm 1908 vua Carlos I và thái tử bị ám sát ngay tại quảng trường; năm 1910 Bồ Đào Nha thành nước cộng hòa.
5. Quán Martinho da Arcada (1782) dưới mái vòm là quán cà phê lâu đời nhất Lisbon, nơi nhà thơ Fernando Pessoa hay ngồi. Thang máy Santa Justa (1902) do Raoul Mesnier du Ponsard, học trò của Eiffel, thiết kế.</t>
  </si>
  <si>
    <t>The Great Lisbon Earthquake struck on 1 November 1755 and destroyed the royal palace that stood on this square.</t>
  </si>
  <si>
    <t>YouTube: "1755 Lisbon earthquake explained", "Rick Steves Lisbon" · TikTok: #lisbontips</t>
  </si>
  <si>
    <t>Alfama và nhạc Fado</t>
  </si>
  <si>
    <t>1. Fado được UNESCO công nhận Di sản văn hóa phi vật thể năm 2011.
2. Cảm xúc chủ đạo là "saudade": nỗi nhớ da diết điều đã mất hoặc không có được, từ rất khó dịch.
3. Nhạc cụ: đàn guitarra portuguesa 12 dây hình quả lê, đệm cùng guitar cổ điển (viola).
4. Amália Rodrigues (1920–1999), "Nữ hoàng Fado", được an táng ở Điện Panteão Quốc gia.
5. Khi ca sĩ hát: im lặng, không gọi món, không chụp flash. Alfama là khu cổ nhất Lisbon, ít hư hại trong động đất 1755; tên gốc tiếng Ả Rập "al-hamma" (suối nước nóng).</t>
  </si>
  <si>
    <t>Fado is Lisbon's music of saudade, and UNESCO listed it as intangible cultural heritage in 2011.</t>
  </si>
  <si>
    <t>YouTube: "Amália Rodrigues Barco Negro", "What is Fado" · TikTok: #fadolisboa</t>
  </si>
  <si>
    <t>Belém (đề xuất thêm)</t>
  </si>
  <si>
    <t>1. Tu viện Jerónimos và tháp Belém là Di sản UNESCO (1983), kiến trúc Manueline riêng của BĐN với họa tiết dây thừng, san hô, biểu tượng hàng hải.
2. Tu viện xây từ 1501 bằng tiền thu từ buôn bán hương liệu; mộ nhà hàng hải Vasco da Gama nằm trong nhà thờ của tu viện.
3. Tháp Belém (1514–1520) là pháo đài canh cửa sông Tejo, nơi nhiều đoàn thám hiểm xuất phát.
4. Tượng đài Khám phá (Padrão dos Descobrimentos, 1960) khắc 33 nhân vật thời Đại khám phá, đứng đầu là Hoàng tử Henrique Nhà hàng hải.
5. Tiệm Pastéis de Belém (từ 1837) làm bánh trứng theo công thức bí mật của các tu sĩ Jerónimos.</t>
  </si>
  <si>
    <t>Vasco da Gama is buried in the Jerónimos Monastery, and the custard tarts next door follow the monks' secret recipe.</t>
  </si>
  <si>
    <t>YouTube: "Belem Lisbon guide" · TikTok: #pasteisdebelem</t>
  </si>
  <si>
    <t>Sintra</t>
  </si>
  <si>
    <t>Cung điện Pena</t>
  </si>
  <si>
    <t>1. Vua Fernando II (gốc Đức, chồng nữ hoàng Maria II) cho xây 1842–1854 trên nền một tu viện thế kỷ 16 bị hư hại sau động đất 1755.
2. Được xem là cung điện phong cách Lãng mạn đầu tiên ở châu Âu, có trước lâu đài Neuschwanstein (Đức) gần 30 năm.
3. Pha trộn Gothic, Manueline và Hồi giáo; màu đỏ, vàng của tường được phục dựng vào thập niên 1990.
4. Năm 2007 được bình chọn là một trong 7 kỳ quan của Bồ Đào Nha.
5. Cảnh quan văn hóa Sintra là Di sản UNESCO năm 1995, nơi đầu tiên ở châu Âu được công nhận theo hạng mục "cảnh quan văn hóa".</t>
  </si>
  <si>
    <t>Pena Palace was built in the 1840s by King Ferdinand II and is one of the first Romantic palaces in Europe.</t>
  </si>
  <si>
    <t>YouTube: "Pena Palace Sintra guide" · TikTok: #sintra</t>
  </si>
  <si>
    <t>Cabo da Roca</t>
  </si>
  <si>
    <t>1. Điểm cực tây của lục địa châu Âu, kinh độ 9°30′ Tây.
2. Vách đá cao khoảng 140 m trên Đại Tây Dương.
3. Bia đá khắc câu thơ của Luís de Camões: "Onde a terra se acaba e o mar começa" (Nơi đất liền kết thúc và biển cả bắt đầu), trích sử thi Os Lusíadas.
4. Ngọn hải đăng hoạt động từ năm 1772.
5. Gió rất mạnh; phòng thông tin du lịch bán giấy chứng nhận đã đến điểm cực tây châu Âu.</t>
  </si>
  <si>
    <t>Cabo da Roca is the westernmost point of mainland Europe.</t>
  </si>
  <si>
    <t>YouTube: "Cabo da Roca" · TikTok: #cabodaroca</t>
  </si>
  <si>
    <t>Porto</t>
  </si>
  <si>
    <t>Ga São Bento</t>
  </si>
  <si>
    <t>1. Khánh thành năm 1916, kiến trúc sư José Marques da Silva, xây trên nền tu viện dòng Biển Đức (São Bento) cũ.
2. Sảnh chính ốp khoảng 20.000 viên gạch men azulejo do họa sĩ Jorge Colaço vẽ (1905–1916).
3. Tranh kể lịch sử BĐN: trận chiếm Ceuta năm 1415, vua João I và hoàng hậu Philippa (người Anh) vào Porto năm 1387.
4. Chữ "azulejo" gốc tiếng Ả Rập "al-zulayj" (đá mài nhẵn), không phải từ "azul" (màu xanh).
5. Ga vẫn chạy tàu, kể cả tàu đi thung lũng Douro; tàu Alfa Pendular từ Lisbon chỉ dừng ở ga Campanhã.</t>
  </si>
  <si>
    <t>São Bento Station's hall is covered with about 20,000 hand-painted tiles showing scenes from Portuguese history.</t>
  </si>
  <si>
    <t>YouTube: "Sao Bento station azulejos" · TikTok: #saobento</t>
  </si>
  <si>
    <t>Tháp Clérigos và Livraria Lello</t>
  </si>
  <si>
    <t>1. Tháp Clérigos cao khoảng 76 m, phong cách Baroque, xây 1754–1763, do kiến trúc sư người Ý Nicolau Nasoni thiết kế; ông được chôn ngay trong nhà thờ này.
2. Khi xây xong là công trình cao nhất BĐN, làm mốc định hướng cho tàu thuyền vào sông Douro.
3. Leo hơn 200 bậc lên đỉnh để nhìn toàn cảnh Porto.
4. Hiệu sách Livraria Lello (1906) nổi tiếng với cầu thang gỗ đỏ uốn cong; vé vào được trừ khi mua sách.
5. J.K. Rowling sống ở Porto 1991–1993, dạy tiếng Anh, nên Lello hay được gắn với Harry Potter; chính bà nói chưa từng vào hiệu sách này.</t>
  </si>
  <si>
    <t>Clérigos Tower is about 76 metres high and was designed by the Italian architect Nicolau Nasoni.</t>
  </si>
  <si>
    <t>YouTube: "Livraria Lello Porto", "Rick Steves Porto" · TikTok: #livrarialello</t>
  </si>
  <si>
    <t>Ribeira và cầu Dom Luís I</t>
  </si>
  <si>
    <t>09–10/11</t>
  </si>
  <si>
    <t>1. Trung tâm lịch sử Porto (Ribeira, cầu Dom Luís I, tu viện Serra do Pilar) là Di sản UNESCO từ 1996.
2. Cầu Dom Luís I khánh thành năm 1886, do kỹ sư Théophile Seyrig, cộng sự cũ của Gustave Eiffel, thiết kế; nhịp vòm sắt 172 m, dài nhất thế giới thời đó.
3. Cầu 2 tầng: tầng trên cho metro và người đi bộ, tầng dưới cho ô tô và người đi bộ. Cầu Maria Pia (1877) phía thượng nguồn mới là cầu do chính Eiffel thiết kế.
4. Người Porto có biệt danh "tripeiros" (người ăn lòng): năm 1415 họ góp hết thịt cho hạm đội đi chiếm Ceuta, chỉ giữ lại lòng, từ đó có món tripas à moda do Porto.
5. Tên nước "Portugal" bắt nguồn từ "Portus Cale", vùng cảng ở cửa sông Douro, chính là khu Porto và Gaia ngày nay.</t>
  </si>
  <si>
    <t>The Dom Luís I Bridge was designed by Théophile Seyrig, a former partner of Gustave Eiffel, and the name Portugal comes from this port.</t>
  </si>
  <si>
    <t>YouTube: "Porto Ribeira Dom Luis bridge" · TikTok: #portoportugal</t>
  </si>
  <si>
    <t>Vila Nova de Gaia và rượu Port</t>
  </si>
  <si>
    <t>1. Rượu Port được ủ trong các hầm rượu ở Gaia, bờ đối diện Ribeira; nho trồng ở thung lũng Douro, cách khoảng 100 km về thượng nguồn.
2. Douro là vùng rượu đầu tiên trên thế giới được phân định và quản lý bằng luật, năm 1756 thời Hầu tước Pombal. Vùng rượu Alto Douro là Di sản UNESCO từ 2001.
3. Port là rượu cường hóa: cho thêm rượu mạnh nho (aguardente) khi đang lên men, giữ vị ngọt, độ cồn khoảng 19–22%.
4. Nhiều hãng mang tên Anh (Taylor's, Graham's, Croft, Sandeman) vì thương nhân Anh chuyển sang mua rượu BĐN khi Anh đánh thuế cao rượu Pháp; Hiệp ước Methuen 1703 giảm thuế cho rượu BĐN.
5. Thuyền rabelo đáy bằng từng chở thùng rượu xuôi sông Douro về Gaia; nay neo trước các hầm rượu.</t>
  </si>
  <si>
    <t>The Douro was the world's first officially demarcated wine region, back in 1756.</t>
  </si>
  <si>
    <t>YouTube: "Port wine cellars Gaia", "Port wine explained" · TikTok: #portwine</t>
  </si>
  <si>
    <t>Văn hóa, lịch sử, tôn giáo, ứng xử của 3 nước</t>
  </si>
  <si>
    <t>Đọc mục "Liên hệ với Việt Nam" trước: đây là chuyện dễ mở đầu khi trò chuyện với người địa phương và đối tác.</t>
  </si>
  <si>
    <t>Nước</t>
  </si>
  <si>
    <t>Chủ đề</t>
  </si>
  <si>
    <t>Pháp</t>
  </si>
  <si>
    <t>Lịch sử: 5 mốc</t>
  </si>
  <si>
    <t>• Thế kỷ 1 TCN: La Mã chiếm xứ Gaul; Paris khi đó tên là Lutetia.
• 1789: Cách mạng Pháp, phá ngục Bastille ngày 14/7 (nay là Quốc khánh).
• 1804–1815: Napoléon làm Hoàng đế, ban hành Bộ luật Dân sự (Code civil).
• 1889: Triển lãm Thế giới và tháp Eiffel, thời kỳ Belle Époque.
• 1958: Đệ ngũ Cộng hòa (De Gaulle); Pháp là thành viên sáng lập khối EU (Hiệp ước Rome 1957).</t>
  </si>
  <si>
    <t>Tôn giáo</t>
  </si>
  <si>
    <t>Truyền thống Công giáo (nhà thờ khắp nơi) nhưng nhà nước thế tục rất nghiêm (laïcité, luật 1905 tách nhà thờ khỏi nhà nước). Vào nhà thờ: nói nhỏ, bỏ mũ, không chụp flash khi đang có lễ.</t>
  </si>
  <si>
    <t>Ứng xử</t>
  </si>
  <si>
    <t>Luôn chào "Bonjour, Madame / Monsieur" khi bước vào cửa hàng, quán, kể cả lúc hỏi đường; không chào bị coi là bất lịch sự. Gặp công việc: bắt tay. Nói nhỏ trong nhà hàng và trên metro.</t>
  </si>
  <si>
    <t>Giờ ăn, tiền tip</t>
  </si>
  <si>
    <t>Trưa 12:00–14:00, tối 19:30–21:30; nhiều bếp nghỉ 14:30–19:00. Phí phục vụ đã tính trong giá (service compris), tip thêm vài euro nếu hài lòng. Nước máy (carafe d'eau) miễn phí. Phục vụ chỉ mang hóa đơn khi khách gọi.</t>
  </si>
  <si>
    <t>Liên hệ với Việt Nam</t>
  </si>
  <si>
    <t>1858 Pháp (cùng TBN) đánh Đà Nẵng, mở đầu thời kỳ thuộc địa kéo dài tới 1954. Nguyễn Ái Quốc sống ở Paris khoảng 1919–1923, gửi "Yêu sách của nhân dân An Nam" tới Hội nghị Versailles 1919. Hiệp định Paris ký ngày 27/1/1973 tại Trung tâm Hội nghị quốc tế phố Kléber (nay là khách sạn The Peninsula Paris). Từ 10/2024 hai nước là Đối tác Chiến lược Toàn diện.</t>
  </si>
  <si>
    <t>Nên tránh</t>
  </si>
  <si>
    <t>Gọi bồi bàn là "garçon"; nói to nơi công cộng; treo túi trên lưng ghế ở quán ngoài trời.</t>
  </si>
  <si>
    <t>Tây Ban Nha</t>
  </si>
  <si>
    <t>• 218 TCN–thế kỷ 5: tỉnh Hispania của La Mã.
• 711–1492: người Moor (Hồi giáo) cai trị phần lớn bán đảo; Reconquista kết thúc khi Granada thất thủ ngày 2/1/1492. Cùng năm Columbus tới châu Mỹ (12/10, nay là Quốc khánh).
• Thế kỷ 16–17: đế chế TBN thời hoàng kim; Madrid thành thủ đô năm 1561 (vua Felipe II).
• 1936–1939: Nội chiến; Franco cầm quyền độc tài tới khi mất năm 1975.
• 1978: Hiến pháp mới, quân chủ lập hiến (vua Felipe VI từ 2014); vào EU năm 1986; Olympic Barcelona 1992.</t>
  </si>
  <si>
    <t>Vùng và ngôn ngữ</t>
  </si>
  <si>
    <t>17 cộng đồng tự trị. Catalonia (Barcelona) có tiếng Catalan đồng chính thức: biển báo, thực đơn hay ghi tiếng Catalan trước. Nói "Gràcies" (cảm ơn) ở Barcelona được quý. Extremadura (Trujillo, Cáceres) là vùng nông thôn, ít khách quốc tế, ít người nói tiếng Anh.</t>
  </si>
  <si>
    <t>Đa số Công giáo; nhiều lễ hội gắn với các thánh. Sagrada Família là Vương cung thánh đường đang hành lễ: nên mặc kín vai.</t>
  </si>
  <si>
    <t>Chào "Hola, buenos días" (buổi sáng), "buenas tardes" (chiều tối). Gặp công việc: bắt tay. Người TBN nói to, nói chen nhau là bình thường, không phải cãi nhau.</t>
  </si>
  <si>
    <t>Trưa 14:00–16:00, tối 21:00–23:00; nhiều bếp đóng 16:00–20:00. "Menú del día" (set trưa 2 món + đồ uống + tráng miệng) rẻ và đủ no. Tip không bắt buộc: để lại tiền lẻ, hoặc 5–10% khi phục vụ tốt. Ở thị trấn nhỏ (Trujillo, Cáceres) cửa hàng nghỉ trưa khoảng 14:00–17:00.</t>
  </si>
  <si>
    <t>1858 quân TBN (từ Philippines) cùng Pháp đánh Đà Nẵng. Giáo sĩ dòng Đa Minh người TBN truyền giáo ở Bắc Kỳ thế kỷ 17–19. Hai nước là Đối tác Chiến lược từ 2009. Real Madrid và Barcelona có lượng fan rất lớn ở Việt Nam.</t>
  </si>
  <si>
    <t>Bàn chuyện độc lập Catalonia hay đấu bò (Catalonia không còn tổ chức đấu bò từ 2012). Gọi người Barcelona là "người TBN" khi họ tự giới thiệu là người Catalan. Đi ăn tối lúc 18:00 (quán vắng hoặc chỉ có thực đơn cho khách du lịch).</t>
  </si>
  <si>
    <t>Bồ Đào Nha</t>
  </si>
  <si>
    <t>• 1143: Vương quốc BĐN được công nhận (Hiệp ước Zamora), vua đầu tiên Afonso Henriques; biên giới gần như cố định từ 1297, thuộc loại lâu đời nhất châu Âu.
• 1415–1500: Đại khám phá: chiếm Ceuta 1415, Vasco da Gama tới Ấn Độ 1498, Cabral tới Brazil 1500.
• 1/11/1755: động đất, sóng thần và hỏa hoạn tàn phá Lisbon; Hầu tước Pombal xây lại khu Baixa.
• 1910: lật đổ quân chủ, lập cộng hòa; 1933–1974: chế độ độc tài Estado Novo (Salazar).
• 25/4/1974: Cách mạng Hoa cẩm chướng gần như không đổ máu; vào EU năm 1986. Cầu 25 de Abril ở Lisbon mang tên ngày này.</t>
  </si>
  <si>
    <t>Liên minh với Anh</t>
  </si>
  <si>
    <t>Liên minh Anh–BĐN (từ 1373, Hiệp ước Windsor 1386) là liên minh còn hiệu lực lâu đời nhất thế giới. Đây là lý do nhiều hãng rượu Port mang tên Anh.</t>
  </si>
  <si>
    <t>Đa số Công giáo; thánh địa Fátima (1917) là điểm hành hương lớn.</t>
  </si>
  <si>
    <t>"Bom dia" (sáng), "Boa tarde" (chiều), "Boa noite" (tối). Cảm ơn: nam nói "Obrigado", nữ nói "Obrigada". Người BĐN không thích bị nói tiếng TBN với mình; dùng tiếng Anh hoặc vài từ tiếng BĐN.</t>
  </si>
  <si>
    <t>Trưa 12:30–15:00, tối 19:30–22:00. Couvert: bánh mì, ô liu, pho mát, pa-tê đặt sẵn trên bàn KHÔNG miễn phí; không dùng thì nói "Não, obrigado" để phục vụ mang đi. Tip 5–10% nếu hài lòng. "Um café" là espresso (Lisbon gọi "bica", Porto gọi "cimbalino"); "galão" là cà phê sữa trong cốc thủy tinh.</t>
  </si>
  <si>
    <t>Thương nhân BĐN tới Hội An (Faifo) từ thế kỷ 16–17. Các giáo sĩ dòng Tên người BĐN (Francisco de Pina, Gaspar do Amaral, António Barbosa) đặt nền móng cho việc ghi tiếng Việt bằng chữ Latinh; cuốn từ điển Việt–Bồ–La của Alexandre de Rhodes (in ở Rome năm 1651) dùng tiếng BĐN để đối chiếu. Hai nước lập quan hệ ngoại giao năm 1975; Việt Nam có Đại sứ quán tại Lisbon.</t>
  </si>
  <si>
    <t>Coi BĐN là "một phần của TBN"; bàn chuyện bóng đá Benfica và FC Porto khi chưa biết người đối diện ủng hộ đội nào; đi giày đế trơn trên vỉa hè đá lát (calçada) lúc trời mưa.</t>
  </si>
  <si>
    <t>Chung cả 3 nước</t>
  </si>
  <si>
    <t>Móc túi là rủi ro lớn nhất ở Barcelona, Paris, Lisbon. Chiêu hay gặp: xin ký tên thỉnh nguyện, làm đổ đồ lên áo, chen trên metro và tàu điện 28. Túi đeo chéo để trước ngực, có khóa kéo.</t>
  </si>
  <si>
    <t>Nước, điện</t>
  </si>
  <si>
    <t>Nước máy uống được ở cả 3 nước. Điện 230V, ổ cắm Type C/F: phích 2 chân tròn của VN cắm được; phích chân dẹt cần đầu chuyển.</t>
  </si>
  <si>
    <t>Thanh toán</t>
  </si>
  <si>
    <t>Thẻ không tiếp xúc dùng được gần như mọi nơi. Khi máy POS hỏi trả bằng VND hay EUR: luôn chọn EUR.</t>
  </si>
  <si>
    <t>Múi giờ</t>
  </si>
  <si>
    <t>Châu Âu đổi sang giờ mùa đông ngày 25/10/2026. Trong chuyến đi: Pháp, TBN chậm hơn VN 6 tiếng; BĐN chậm hơn VN 7 tiếng (chậm hơn TBN 1 tiếng).</t>
  </si>
  <si>
    <t>Ăn gì ở mỗi nơi: món, thành phần, cách gọi bằng tiếng Anh</t>
  </si>
  <si>
    <t>Bảng đọc thực đơn (thịt, hải sản, rau, độ chín) bằng 4 thứ tiếng nằm ở sheet Từ vựng 4 thứ tiếng.</t>
  </si>
  <si>
    <t>Món</t>
  </si>
  <si>
    <t>Là gì</t>
  </si>
  <si>
    <t>Gọi món (tiếng Anh)</t>
  </si>
  <si>
    <t>Ăn ở đâu, khi nào</t>
  </si>
  <si>
    <t>Đã thử?</t>
  </si>
  <si>
    <t>Croissant, pain au chocolat</t>
  </si>
  <si>
    <t>Bánh sừng bò bơ; bánh bơ nhân thanh sô-cô-la. Bữa sáng của người Pháp.</t>
  </si>
  <si>
    <t>Two croissants and a café crème, please.</t>
  </si>
  <si>
    <t>Tiệm bánh (boulangerie) buổi sáng.</t>
  </si>
  <si>
    <t>Croque-monsieur</t>
  </si>
  <si>
    <t>Bánh mì nướng kẹp giăm bông và phô mai, phủ sốt béchamel. Thêm trứng ốp lên trên gọi là croque-madame.</t>
  </si>
  <si>
    <t>I'll have a croque-monsieur, please.</t>
  </si>
  <si>
    <t>Quán cà phê, bistro, bữa trưa nhanh.</t>
  </si>
  <si>
    <t>Steak frites</t>
  </si>
  <si>
    <t>Bít tết ăn kèm khoai tây chiên. Phải chọn độ chín: saignant (tái), à point (vừa), bien cuit (chín kỹ).</t>
  </si>
  <si>
    <t>Steak frites, medium, please.</t>
  </si>
  <si>
    <t>Bistro.</t>
  </si>
  <si>
    <t>Soupe à l'oignon gratinée</t>
  </si>
  <si>
    <t>Súp hành tây hầm nước dùng bò, phủ bánh mì và phô mai nướng chảy. Hợp trời lạnh tháng 11.</t>
  </si>
  <si>
    <t>French onion soup, please.</t>
  </si>
  <si>
    <t>Bistro, brasserie.</t>
  </si>
  <si>
    <t>Bœuf bourguignon</t>
  </si>
  <si>
    <t>Bò hầm rượu vang đỏ vùng Bourgogne với hành, nấm, thịt xông khói.</t>
  </si>
  <si>
    <t>What's the beef stew like? Is it served with potatoes?</t>
  </si>
  <si>
    <t>Bistro, món chính bữa tối.</t>
  </si>
  <si>
    <t>Confit de canard</t>
  </si>
  <si>
    <t>Đùi vịt ướp muối, nấu chậm trong mỡ vịt rồi áp chảo giòn da.</t>
  </si>
  <si>
    <t>I'd like the duck confit.</t>
  </si>
  <si>
    <t>Escargots de Bourgogne</t>
  </si>
  <si>
    <t>Ốc sên nướng bơ tỏi mùi tây, ăn bằng kẹp và dĩa nhỏ.</t>
  </si>
  <si>
    <t>Could we try half a dozen snails to share?</t>
  </si>
  <si>
    <t>Brasserie, khai vị.</t>
  </si>
  <si>
    <t>Crêpe, macaron</t>
  </si>
  <si>
    <t>Bánh kếp mỏng (ngọt hoặc mặn); bánh hạnh nhân nhiều màu.</t>
  </si>
  <si>
    <t>A Nutella crêpe, please.</t>
  </si>
  <si>
    <t>Quầy crêpe ven đường; tiệm macaron.</t>
  </si>
  <si>
    <t>Pa amb tomàquet</t>
  </si>
  <si>
    <t>Bánh mì nướng chà cà chua chín, tưới dầu ô liu, rắc muối, có khi chà tỏi. Ăn kèm jamón.</t>
  </si>
  <si>
    <t>Some bread with tomato for the table, please.</t>
  </si>
  <si>
    <t>Mọi quán tapas Catalan.</t>
  </si>
  <si>
    <t>Paella de marisco, arròs negre</t>
  </si>
  <si>
    <t>Cơm chảo hải sản (gốc Valencia); arròs negre là cơm đen nấu mực ống và mực đen.</t>
  </si>
  <si>
    <t>Seafood paella for four, please. How long does it take?</t>
  </si>
  <si>
    <t>Bữa trưa ở Barceloneta. Thường gọi tối thiểu 2 phần, chờ 20–30 phút.</t>
  </si>
  <si>
    <t>Fideuà</t>
  </si>
  <si>
    <t>Giống paella nhưng thay gạo bằng mì sợi ngắn, ăn với sốt aioli (tỏi, dầu ô liu).</t>
  </si>
  <si>
    <t>One fideuà with aioli, please.</t>
  </si>
  <si>
    <t>Quán hải sản.</t>
  </si>
  <si>
    <t>Patatas bravas</t>
  </si>
  <si>
    <t>Khoai tây chiên khối, rưới sốt bravas cay nhẹ và aioli.</t>
  </si>
  <si>
    <t>A portion of patatas bravas.</t>
  </si>
  <si>
    <t>Tapas, gọi chung cho bàn.</t>
  </si>
  <si>
    <t>Pimientos de Padrón</t>
  </si>
  <si>
    <t>Ớt xanh nhỏ chiên dầu ô liu rắc muối hột; phần lớn không cay, thỉnh thoảng có quả rất cay.</t>
  </si>
  <si>
    <t>Padrón peppers, please.</t>
  </si>
  <si>
    <t>Tapas.</t>
  </si>
  <si>
    <t>Croquetas</t>
  </si>
  <si>
    <t>Bánh croquette nhân sốt kem với jamón, gà hoặc cá tuyết.</t>
  </si>
  <si>
    <t>Ham croquettes, please.</t>
  </si>
  <si>
    <t>Crema catalana</t>
  </si>
  <si>
    <t>Kem trứng hương vỏ chanh và quế, mặt đường đốt cháy giòn (gần giống crème brûlée).</t>
  </si>
  <si>
    <t>Crema catalana for dessert.</t>
  </si>
  <si>
    <t>Tráng miệng.</t>
  </si>
  <si>
    <t>Cocido madrileño</t>
  </si>
  <si>
    <t>Món hầm đậu gà, thịt, xúc xích, rau; ăn 3 lượt: nước súp nấu mì, rồi đậu và rau, cuối cùng là thịt.</t>
  </si>
  <si>
    <t>Is the cocido for one person or to share?</t>
  </si>
  <si>
    <t>Bữa trưa (14:00), quán truyền thống.</t>
  </si>
  <si>
    <t>Bocadillo de calamares</t>
  </si>
  <si>
    <t>Bánh mì kẹp mực khoanh tẩm bột chiên giòn.</t>
  </si>
  <si>
    <t>A squid sandwich, please.</t>
  </si>
  <si>
    <t>Quanh Plaza Mayor.</t>
  </si>
  <si>
    <t>Cochinillo asado</t>
  </si>
  <si>
    <t>Lợn sữa quay da giòn (gốc Segovia).</t>
  </si>
  <si>
    <t>We'd like the roast suckling pig for eight.</t>
  </si>
  <si>
    <t>Nhà hàng Botín (1725).</t>
  </si>
  <si>
    <t>Huevos rotos</t>
  </si>
  <si>
    <t>Trứng ốp lòng đào đập vỡ trên khoai tây chiên, thêm jamón hoặc chorizo.</t>
  </si>
  <si>
    <t>One huevos rotos with ham, please.</t>
  </si>
  <si>
    <t>Tortilla de patatas</t>
  </si>
  <si>
    <t>Trứng tráng dày nhân khoai tây (và hành), ăn nóng hoặc nguội.</t>
  </si>
  <si>
    <t>A slice of Spanish omelette.</t>
  </si>
  <si>
    <t>Quầy bar, bữa sáng hoặc tapas.</t>
  </si>
  <si>
    <t>Callos a la madrileña</t>
  </si>
  <si>
    <t>Lòng bò hầm ớt paprika, chorizo, morcilla (dồi). Vị đậm, hợp ngày lạnh.</t>
  </si>
  <si>
    <t>What are callos? Is it tripe?</t>
  </si>
  <si>
    <t>Quán truyền thống, phố Cava Baja.</t>
  </si>
  <si>
    <t>Churros con chocolate</t>
  </si>
  <si>
    <t>Bánh quẩy chiên chấm sô-cô-la nóng đặc.</t>
  </si>
  <si>
    <t>Churros with hot chocolate for eight.</t>
  </si>
  <si>
    <t>Chocolatería San Ginés (từ 1894), mở đến khuya.</t>
  </si>
  <si>
    <t>Trujillo, Cáceres</t>
  </si>
  <si>
    <t>Jamón ibérico de bellota</t>
  </si>
  <si>
    <t>Đùi heo đen Iberia ăn hạt sồi (bellota) trên đồng cỏ dehesa, muối và treo 2–4 năm. Mùa thả heo ăn hạt sồi (montanera) từ tháng 10 tới tháng 2, tháng 11 đúng mùa.</t>
  </si>
  <si>
    <t>A plate of acorn-fed Iberian ham, please.</t>
  </si>
  <si>
    <t>Quán ở Plaza Mayor Trujillo và Cáceres; giá ở đây mềm hơn Madrid.</t>
  </si>
  <si>
    <t>Torta del Casar</t>
  </si>
  <si>
    <t>Phô mai sữa cừu mềm chảy, đông tụ bằng nhụy hoa kế dại; cắt nắp trên, múc bằng thìa hoặc chấm bánh mì.</t>
  </si>
  <si>
    <t>Could we try the Torta del Casar?</t>
  </si>
  <si>
    <t>Khai vị chung cả bàn.</t>
  </si>
  <si>
    <t>Migas extremeñas</t>
  </si>
  <si>
    <t>Vụn bánh mì xào tỏi, ớt paprika, chorizo, ba chỉ; món nông dân.</t>
  </si>
  <si>
    <t>What's in the migas?</t>
  </si>
  <si>
    <t>Bữa trưa.</t>
  </si>
  <si>
    <t>Caldereta de cordero</t>
  </si>
  <si>
    <t>Cừu hầm ớt, tỏi, rượu vang.</t>
  </si>
  <si>
    <t>Lamb stew, please.</t>
  </si>
  <si>
    <t>Bữa trưa, bữa tối.</t>
  </si>
  <si>
    <t>Pimentón de la Vera</t>
  </si>
  <si>
    <t>Bột ớt hun khói của vùng (DOP), có trong chorizo và nhiều món.</t>
  </si>
  <si>
    <t>Mua làm quà: hộp thiếc nhỏ, nhẹ.</t>
  </si>
  <si>
    <t>Pastel de nata</t>
  </si>
  <si>
    <t>Bánh trứng vỏ ngàn lớp, ăn nóng rắc quế và đường bột.</t>
  </si>
  <si>
    <t>Two custard tarts, please.</t>
  </si>
  <si>
    <t>Pastéis de Belém (từ 1837); Manteigaria.</t>
  </si>
  <si>
    <t>Bacalhau à Brás</t>
  </si>
  <si>
    <t>Cá tuyết muối xé sợi xào với khoai tây sợi chiên, hành, trứng, ô liu. Người BĐN nói có 365 cách nấu bacalhau.</t>
  </si>
  <si>
    <t>Bacalhau à Brás, please. Is it salty?</t>
  </si>
  <si>
    <t>Quán truyền thống (tasca).</t>
  </si>
  <si>
    <t>Bifana</t>
  </si>
  <si>
    <t>Bánh mì kẹp thịt heo thái mỏng ướp tỏi, vang trắng.</t>
  </si>
  <si>
    <t>Two bifanas, please.</t>
  </si>
  <si>
    <t>Quầy ăn nhanh, rẻ.</t>
  </si>
  <si>
    <t>Polvo à lagareiro</t>
  </si>
  <si>
    <t>Bạch tuộc nướng, khoai tây nướng đập dập, rưới nhiều dầu ô liu tỏi.</t>
  </si>
  <si>
    <t>Grilled octopus, please.</t>
  </si>
  <si>
    <t>Bữa tối hải sản.</t>
  </si>
  <si>
    <t>Amêijoas à Bulhão Pato</t>
  </si>
  <si>
    <t>Nghêu xào tỏi, rau mùi, vang trắng, chanh. Chấm bánh mì với nước sốt.</t>
  </si>
  <si>
    <t>Clams with garlic and coriander.</t>
  </si>
  <si>
    <t>Khai vị chung.</t>
  </si>
  <si>
    <t>Ginjinha</t>
  </si>
  <si>
    <t>Rượu mùi anh đào chua, uống ly nhỏ, có hoặc không có quả.</t>
  </si>
  <si>
    <t>Two ginjinhas, with cherries.</t>
  </si>
  <si>
    <t>Quầy A Ginjinha gần quảng trường Rossio.</t>
  </si>
  <si>
    <t>Travesseiros, queijadas</t>
  </si>
  <si>
    <t>Travesseiro: bánh ngàn lớp nhân kem hạnh nhân trứng; queijada: bánh phô mai nhỏ.</t>
  </si>
  <si>
    <t>Two travesseiros, please.</t>
  </si>
  <si>
    <t>Tiệm Piriquita (từ 1862).</t>
  </si>
  <si>
    <t>Francesinha</t>
  </si>
  <si>
    <t>Bánh mì nhiều lớp (giăm bông, xúc xích, bò), phủ phô mai nướng và sốt bia cà chua cay, kèm khoai tây chiên. Rất no, 2 người chia 1 phần.</t>
  </si>
  <si>
    <t>One francesinha to share, with an egg on top.</t>
  </si>
  <si>
    <t>Café Santiago hoặc quán địa phương.</t>
  </si>
  <si>
    <t>Tripas à moda do Porto</t>
  </si>
  <si>
    <t>Lòng bò hầm đậu trắng, xúc xích. Món gắn với biệt danh "tripeiros" của người Porto.</t>
  </si>
  <si>
    <t>Is the tripe stew very rich?</t>
  </si>
  <si>
    <t>Quán truyền thống.</t>
  </si>
  <si>
    <t>Sandes de pernil</t>
  </si>
  <si>
    <t>Bánh mì kẹp thịt đùi heo quay, có thể thêm phô mai Serra.</t>
  </si>
  <si>
    <t>A pork sandwich with cheese.</t>
  </si>
  <si>
    <t>Casa Guedes.</t>
  </si>
  <si>
    <t>Bacalhau à Gomes de Sá</t>
  </si>
  <si>
    <t>Cá tuyết, khoai tây, hành, trứng luộc, ô liu nướng chung; món sinh ra ở Porto.</t>
  </si>
  <si>
    <t>Bacalhau Gomes de Sá, please.</t>
  </si>
  <si>
    <t>Caldo verde</t>
  </si>
  <si>
    <t>Súp khoai tây nấu cải xoăn thái sợi, thêm lát xúc xích chouriço. Món của miền Bắc BĐN.</t>
  </si>
  <si>
    <t>A bowl of caldo verde.</t>
  </si>
  <si>
    <t>Khai vị, hợp trời mưa.</t>
  </si>
  <si>
    <t>Rượu vang và bia: của nước nào, bao nhiêu độ, có gì đặc biệt</t>
  </si>
  <si>
    <t>Độ cồn là khoảng thường gặp, có thể chênh theo dòng sản phẩm và năm sản xuất.</t>
  </si>
  <si>
    <t>Nhóm</t>
  </si>
  <si>
    <t>Tên</t>
  </si>
  <si>
    <t>Nước, vùng</t>
  </si>
  <si>
    <t>Độ cồn</t>
  </si>
  <si>
    <t>Có gì đặc biệt</t>
  </si>
  <si>
    <t>Uống với món</t>
  </si>
  <si>
    <t>Cách gọi</t>
  </si>
  <si>
    <t>Vang Pháp</t>
  </si>
  <si>
    <t>Bordeaux (đỏ)</t>
  </si>
  <si>
    <t>Pháp, Tây Nam</t>
  </si>
  <si>
    <t>12,5–14,5%</t>
  </si>
  <si>
    <t>Pha trộn Cabernet Sauvignon và Merlot. Tả ngạn (Médoc) nhiều Cabernet, hữu ngạn (Saint-Émilion) nhiều Merlot. Bảng xếp hạng các château năm 1855.</t>
  </si>
  <si>
    <t>Bít tết, cừu</t>
  </si>
  <si>
    <t>A glass of Bordeaux, please.</t>
  </si>
  <si>
    <t>Bourgogne / Burgundy</t>
  </si>
  <si>
    <t>Pháp, phía Đông</t>
  </si>
  <si>
    <t>12,5–14%</t>
  </si>
  <si>
    <t>Đỏ làm từ 100% Pinot Noir, trắng từ 100% Chardonnay. Coi trọng từng mảnh ruộng nho (climats, Di sản UNESCO 2015).</t>
  </si>
  <si>
    <t>Bò hầm vang, vịt</t>
  </si>
  <si>
    <t>Do you have a red Burgundy by the glass?</t>
  </si>
  <si>
    <t>Champagne</t>
  </si>
  <si>
    <t>Pháp, Đông Bắc</t>
  </si>
  <si>
    <t>~12%</t>
  </si>
  <si>
    <t>Chỉ vang sủi làm ở vùng Champagne mới được gọi tên này. Lên men lần 2 trong chai. "Brut" là khô.</t>
  </si>
  <si>
    <t>Khai vị, hàu, hải sản</t>
  </si>
  <si>
    <t>Two glasses of Champagne, brut.</t>
  </si>
  <si>
    <t>Côtes du Rhône</t>
  </si>
  <si>
    <t>Pháp, thung lũng Rhône</t>
  </si>
  <si>
    <t>13–14%</t>
  </si>
  <si>
    <t>Vang đỏ giá mềm, dễ uống (Grenache, Syrah); bistro nào cũng có.</t>
  </si>
  <si>
    <t>Thịt nướng, bữa trưa</t>
  </si>
  <si>
    <t>The house red, a Côtes du Rhône, please.</t>
  </si>
  <si>
    <t>Sancerre (trắng)</t>
  </si>
  <si>
    <t>Pháp, thung lũng Loire</t>
  </si>
  <si>
    <t>12,5–13,5%</t>
  </si>
  <si>
    <t>Nho Sauvignon Blanc, chua tươi, hương khoáng.</t>
  </si>
  <si>
    <t>Hàu, phô mai dê, cá</t>
  </si>
  <si>
    <t>A glass of Sancerre.</t>
  </si>
  <si>
    <t>Vang TBN</t>
  </si>
  <si>
    <t>Rioja</t>
  </si>
  <si>
    <t>TBN, La Rioja</t>
  </si>
  <si>
    <t>Nho chính Tempranillo. Nhãn ghi thời gian ủ: Crianza (≥ 2 năm, ≥ 1 năm thùng gỗ), Reserva (≥ 3 năm, ≥ 1 năm gỗ), Gran Reserva (≥ 5 năm, ≥ 2 năm gỗ). Vùng DOCa đầu tiên của TBN (1991).</t>
  </si>
  <si>
    <t>Cừu, lợn sữa quay, jamón</t>
  </si>
  <si>
    <t>A bottle of Rioja Reserva for the table.</t>
  </si>
  <si>
    <t>Ribera del Duero</t>
  </si>
  <si>
    <t>TBN, Castilla y León</t>
  </si>
  <si>
    <t>13,5–15%</t>
  </si>
  <si>
    <t>Tempranillo (tên địa phương Tinto Fino), đậm hơn Rioja. Hãng nổi tiếng nhất: Vega Sicilia.</t>
  </si>
  <si>
    <t>Thịt nướng, cocido</t>
  </si>
  <si>
    <t>What Ribera del Duero do you recommend?</t>
  </si>
  <si>
    <t>Priorat</t>
  </si>
  <si>
    <t>TBN, Catalonia (gần Barcelona)</t>
  </si>
  <si>
    <t>14–15%+</t>
  </si>
  <si>
    <t>Garnacha và Cariñena trồng trên đất đá phiến (llicorella); cùng Rioja là 2 vùng xếp hạng cao nhất TBN.</t>
  </si>
  <si>
    <t>Thịt đỏ</t>
  </si>
  <si>
    <t>A glass of Priorat.</t>
  </si>
  <si>
    <t>Cava</t>
  </si>
  <si>
    <t>TBN, chủ yếu Penedès (Catalonia)</t>
  </si>
  <si>
    <t>11,5–12%</t>
  </si>
  <si>
    <t>Vang sủi lên men lần 2 trong chai như Champagne, giá rẻ hơn nhiều. "Brut Nature" là khô nhất.</t>
  </si>
  <si>
    <t>Tapas, hải sản</t>
  </si>
  <si>
    <t>A bottle of cava, brut nature.</t>
  </si>
  <si>
    <t>Albariño (trắng)</t>
  </si>
  <si>
    <t>TBN, Rías Baixas (Galicia)</t>
  </si>
  <si>
    <t>12–13%</t>
  </si>
  <si>
    <t>Thơm mùi đào, chanh, chua tươi.</t>
  </si>
  <si>
    <t>Bạch tuộc, hải sản</t>
  </si>
  <si>
    <t>A glass of Albariño.</t>
  </si>
  <si>
    <t>Jerez / Sherry</t>
  </si>
  <si>
    <t>TBN, Andalusia</t>
  </si>
  <si>
    <t>15–20%</t>
  </si>
  <si>
    <t>Vang cường hóa. Fino, Manzanilla: khô, nhẹ (~15%); Oloroso: đậm (~17–20%); Pedro Ximénez: rất ngọt.</t>
  </si>
  <si>
    <t>Fino với jamón, ô liu; PX với tráng miệng</t>
  </si>
  <si>
    <t>A glass of dry fino, please.</t>
  </si>
  <si>
    <t>Ribera del Guadiana</t>
  </si>
  <si>
    <t>TBN, Extremadura</t>
  </si>
  <si>
    <t>Vang địa phương của vùng Trujillo, Cáceres; giá tốt.</t>
  </si>
  <si>
    <t>Jamón, cừu hầm</t>
  </si>
  <si>
    <t>Do you have a local wine from Extremadura?</t>
  </si>
  <si>
    <t>Sangría, tinto de verano</t>
  </si>
  <si>
    <t>TBN</t>
  </si>
  <si>
    <t>5–10%</t>
  </si>
  <si>
    <t>Đồ uống pha: sangría là vang + trái cây; tinto de verano là vang đỏ + soda chanh. Người địa phương uống tinto de verano nhiều hơn.</t>
  </si>
  <si>
    <t>Uống giải khát</t>
  </si>
  <si>
    <t>A jug of sangría for the table.</t>
  </si>
  <si>
    <t>Vang BĐN</t>
  </si>
  <si>
    <t>Port (Vinho do Porto)</t>
  </si>
  <si>
    <t>BĐN, thung lũng Douro; ủ ở Gaia</t>
  </si>
  <si>
    <t>19–22%</t>
  </si>
  <si>
    <t>Vang cường hóa, ngọt. Ruby: trẻ, vị quả đỏ. Tawny: ủ thùng gỗ lâu, màu hổ phách, vị hạt khô caramel (loại 10, 20, 30, 40 năm). LBV: ủ 4–6 năm. Vintage: chỉ năm được công bố, ủ trong chai hàng chục năm. White port pha tonic ("Porto tónico") làm khai vị.</t>
  </si>
  <si>
    <t>Tráng miệng, phô mai, sô-cô-la</t>
  </si>
  <si>
    <t>Could we try a 10-year-old tawny and an LBV?</t>
  </si>
  <si>
    <t>Vinho Verde</t>
  </si>
  <si>
    <t>BĐN, Minho (miền Bắc)</t>
  </si>
  <si>
    <t>8,5–11,5%</t>
  </si>
  <si>
    <t>"Vang xanh" nghĩa là vang trẻ, không phải màu xanh. Nhẹ, hơi sủi tăm, chua tươi.</t>
  </si>
  <si>
    <t>Cá nướng, hải sản</t>
  </si>
  <si>
    <t>A bottle of vinho verde, please.</t>
  </si>
  <si>
    <t>Douro DOC (đỏ)</t>
  </si>
  <si>
    <t>BĐN, Douro</t>
  </si>
  <si>
    <t>13–14,5%</t>
  </si>
  <si>
    <t>Vang đỏ khô cùng vùng với Port; nho tiêu biểu Touriga Nacional.</t>
  </si>
  <si>
    <t>Thịt nướng, bacalhau</t>
  </si>
  <si>
    <t>A Douro red, please.</t>
  </si>
  <si>
    <t>Alentejo</t>
  </si>
  <si>
    <t>BĐN, miền Nam</t>
  </si>
  <si>
    <t>13,5–14,5%</t>
  </si>
  <si>
    <t>Vang đỏ dễ uống, quán nào ở Lisbon cũng có. Vùng còn giữ cách ủ vang trong vò đất nung (vinho de talha) từ thời La Mã.</t>
  </si>
  <si>
    <t>Thịt heo, cừu</t>
  </si>
  <si>
    <t>The house Alentejo red.</t>
  </si>
  <si>
    <t>BĐN, Lisbon và Óbidos</t>
  </si>
  <si>
    <t>~18–20%</t>
  </si>
  <si>
    <t>Rượu mùi anh đào chua, uống ly nhỏ.</t>
  </si>
  <si>
    <t>Uống đứng ở quầy</t>
  </si>
  <si>
    <t>One ginjinha, with cherries.</t>
  </si>
  <si>
    <t>Bia Pháp</t>
  </si>
  <si>
    <t>Kronenbourg 1664</t>
  </si>
  <si>
    <t>Pháp, Alsace (Strasbourg)</t>
  </si>
  <si>
    <t>5,5%</t>
  </si>
  <si>
    <t>Lager phổ biến nhất Pháp; 1664 là năm lập hãng.</t>
  </si>
  <si>
    <t>Ăn kèm mọi món</t>
  </si>
  <si>
    <t>Un demi (cốc bia tươi 25 cl), s'il vous plaît.</t>
  </si>
  <si>
    <t>Pelforth Brune</t>
  </si>
  <si>
    <t>Pháp, Lille</t>
  </si>
  <si>
    <t>6,5%</t>
  </si>
  <si>
    <t>Bia nâu vị caramel, mạch nha rang.</t>
  </si>
  <si>
    <t>Thịt hầm</t>
  </si>
  <si>
    <t>A Pelforth brune, please.</t>
  </si>
  <si>
    <t>Desperados</t>
  </si>
  <si>
    <t>5,9%</t>
  </si>
  <si>
    <t>Bia pha hương tequila, vị ngọt nhẹ.</t>
  </si>
  <si>
    <t>Uống chơi</t>
  </si>
  <si>
    <t>Leffe, Grimbergen</t>
  </si>
  <si>
    <t>Bỉ (có ở mọi quán Paris)</t>
  </si>
  <si>
    <t>6,6%</t>
  </si>
  <si>
    <t>Bia kiểu tu viện, vàng hoặc nâu, đậm vị.</t>
  </si>
  <si>
    <t>Phô mai, thịt</t>
  </si>
  <si>
    <t>A Leffe blonde, please.</t>
  </si>
  <si>
    <t>Bia TBN</t>
  </si>
  <si>
    <t>Estrella Damm</t>
  </si>
  <si>
    <t>TBN, Barcelona (từ 1876)</t>
  </si>
  <si>
    <t>5,4%</t>
  </si>
  <si>
    <t>Bia của Barcelona, nhẹ, hợp tapas và hải sản.</t>
  </si>
  <si>
    <t>Tapas, paella</t>
  </si>
  <si>
    <t>Una caña de Estrella, por favor.</t>
  </si>
  <si>
    <t>Moritz</t>
  </si>
  <si>
    <t>TBN, Barcelona (từ 1856)</t>
  </si>
  <si>
    <t>Nhãn vàng in hình ông Moritz; người Barcelona hay chọn.</t>
  </si>
  <si>
    <t>Tapas</t>
  </si>
  <si>
    <t>A Moritz, please.</t>
  </si>
  <si>
    <t>Voll-Damm</t>
  </si>
  <si>
    <t>TBN, Barcelona</t>
  </si>
  <si>
    <t>7,2%</t>
  </si>
  <si>
    <t>Bia double malt kiểu Märzen, đậm và mạnh.</t>
  </si>
  <si>
    <t>Thịt</t>
  </si>
  <si>
    <t>A Voll-Damm, please.</t>
  </si>
  <si>
    <t>Mahou Cinco Estrellas</t>
  </si>
  <si>
    <t>TBN, Madrid (từ 1890)</t>
  </si>
  <si>
    <t>Bia của Madrid.</t>
  </si>
  <si>
    <t>Bocadillo de calamares, cocido</t>
  </si>
  <si>
    <t>Una caña de Mahou.</t>
  </si>
  <si>
    <t>Estrella Galicia</t>
  </si>
  <si>
    <t>TBN, A Coruña (từ 1906)</t>
  </si>
  <si>
    <t>Đậm hơn Mahou, rất phổ biến toàn quốc.</t>
  </si>
  <si>
    <t>Hải sản</t>
  </si>
  <si>
    <t>An Estrella Galicia, please.</t>
  </si>
  <si>
    <t>Alhambra Reserva 1925</t>
  </si>
  <si>
    <t>TBN, Granada</t>
  </si>
  <si>
    <t>6,4%</t>
  </si>
  <si>
    <t>Chai thủy tinh xanh, vị mạch nha đậm.</t>
  </si>
  <si>
    <t>Jamón, phô mai</t>
  </si>
  <si>
    <t>Cách gọi bia ở TBN</t>
  </si>
  <si>
    <t>"Una caña": cốc bia tươi nhỏ (~200 ml). "Un tercio": chai 330 ml. "Un doble" hoặc "una pinta": cốc lớn. "Una clara": bia pha soda chanh.</t>
  </si>
  <si>
    <t>Bia BĐN</t>
  </si>
  <si>
    <t>Super Bock</t>
  </si>
  <si>
    <t>BĐN, Porto (từ 1927)</t>
  </si>
  <si>
    <t>5,2%</t>
  </si>
  <si>
    <t>Phổ biến ở miền Bắc; kình địch với Sagres.</t>
  </si>
  <si>
    <t>Francesinha, bifana</t>
  </si>
  <si>
    <t>Um fino (Porto) / uma imperial (Lisbon), por favor.</t>
  </si>
  <si>
    <t>Sagres</t>
  </si>
  <si>
    <t>BĐN, gần Lisbon (từ 1940)</t>
  </si>
  <si>
    <t>5,0%</t>
  </si>
  <si>
    <t>Phổ biến ở miền Nam.</t>
  </si>
  <si>
    <t>Hải sản, bifana</t>
  </si>
  <si>
    <t>Uma imperial, por favor.</t>
  </si>
  <si>
    <t>Cách gọi bia ở BĐN</t>
  </si>
  <si>
    <t>Cốc bia tươi nhỏ (~200 ml): ở Lisbon gọi "uma imperial", ở Porto gọi "um fino". Cốc lớn (~500 ml): "uma caneca".</t>
  </si>
  <si>
    <t>Câu tiếng Anh theo tình huống</t>
  </si>
  <si>
    <t>Mỗi ngày đọc to 5 câu. Có thể chép cột C vào app Shadow English hoặc Anki để luyện nói và ôn lại.</t>
  </si>
  <si>
    <t>Tình huống</t>
  </si>
  <si>
    <t>Câu tiếng Anh</t>
  </si>
  <si>
    <t>Thuộc?</t>
  </si>
  <si>
    <t>Nhà hàng</t>
  </si>
  <si>
    <t>Đặt bàn qua điện thoại/WhatsApp</t>
  </si>
  <si>
    <t>Hi, I'd like to book a table for eight at 8:30 tonight, please.</t>
  </si>
  <si>
    <t>Nói rõ số người và giờ; ở TBN nên đặt 20:30–21:00.</t>
  </si>
  <si>
    <t>Đến nơi đã đặt bàn</t>
  </si>
  <si>
    <t>Good evening. We have a reservation for eight under the name Nguyen.</t>
  </si>
  <si>
    <t>Xin thực đơn tiếng Anh</t>
  </si>
  <si>
    <t>Could we have the menu in English, please?</t>
  </si>
  <si>
    <t>Hỏi món đặc sản</t>
  </si>
  <si>
    <t>What's the local speciality? What do you recommend?</t>
  </si>
  <si>
    <t>Hỏi set trưa</t>
  </si>
  <si>
    <t>Do you have a set lunch menu today?</t>
  </si>
  <si>
    <t>TBN: menú del día; BĐN: prato do dia.</t>
  </si>
  <si>
    <t>Hỏi thành phần</t>
  </si>
  <si>
    <t>Is it spicy? Does it contain pork or nuts?</t>
  </si>
  <si>
    <t>Hỏi khẩu phần</t>
  </si>
  <si>
    <t>Is this enough for two people? Can we share it?</t>
  </si>
  <si>
    <t>Độ chín bít tết</t>
  </si>
  <si>
    <t>I'd like my steak medium-rare / medium / well-done, please.</t>
  </si>
  <si>
    <t>Tái vừa / vừa / chín kỹ.</t>
  </si>
  <si>
    <t>Xin nước máy</t>
  </si>
  <si>
    <t>Could we have some tap water, please?</t>
  </si>
  <si>
    <t>Pháp: une carafe d'eau (miễn phí).</t>
  </si>
  <si>
    <t>Từ chối đồ khai vị đặt sẵn (BĐN)</t>
  </si>
  <si>
    <t>We don't need the bread and olives, thank you.</t>
  </si>
  <si>
    <t>Couvert ở BĐN tính tiền nếu ăn.</t>
  </si>
  <si>
    <t>Gọi thêm đồ uống</t>
  </si>
  <si>
    <t>Another round of beers, please.</t>
  </si>
  <si>
    <t>Báo nhầm món</t>
  </si>
  <si>
    <t>Excuse me, I think we didn't order this.</t>
  </si>
  <si>
    <t>Xin hóa đơn</t>
  </si>
  <si>
    <t>Could we have the bill, please? Can we pay by card?</t>
  </si>
  <si>
    <t>Ở châu Âu phải gọi thì phục vụ mới mang hóa đơn.</t>
  </si>
  <si>
    <t>Chia hóa đơn</t>
  </si>
  <si>
    <t>Could we pay separately? / One bill for the whole table, please.</t>
  </si>
  <si>
    <t>Hỏi phí phục vụ</t>
  </si>
  <si>
    <t>Is service included?</t>
  </si>
  <si>
    <t>Khen món</t>
  </si>
  <si>
    <t>Everything was delicious, thank you.</t>
  </si>
  <si>
    <t>Khách sạn</t>
  </si>
  <si>
    <t>Nhận phòng</t>
  </si>
  <si>
    <t>Hi, we have a booking for four rooms under the name Nguyen.</t>
  </si>
  <si>
    <t>Hỏi ăn sáng</t>
  </si>
  <si>
    <t>Is breakfast included? What time is breakfast served?</t>
  </si>
  <si>
    <t>Xin phòng đẹp</t>
  </si>
  <si>
    <t>Could we have rooms on a high floor with a city view, if possible?</t>
  </si>
  <si>
    <t>Gửi hành lý</t>
  </si>
  <si>
    <t>Could we leave our luggage here after check-out?</t>
  </si>
  <si>
    <t>Gọi xe cho cả đoàn</t>
  </si>
  <si>
    <t>Could you book a minivan for eight people with luggage?</t>
  </si>
  <si>
    <t>Báo sự cố</t>
  </si>
  <si>
    <t>The heating in room 305 isn't working. Could someone take a look?</t>
  </si>
  <si>
    <t>Hỏi giờ trả phòng</t>
  </si>
  <si>
    <t>What time is check-out? Could we check out at 1 pm?</t>
  </si>
  <si>
    <t>Wi-Fi</t>
  </si>
  <si>
    <t>What's the Wi-Fi password?</t>
  </si>
  <si>
    <t>Di chuyển</t>
  </si>
  <si>
    <t>Hỏi đường</t>
  </si>
  <si>
    <t>Excuse me, how do I get to the cathedral from here?</t>
  </si>
  <si>
    <t>Hỏi thời gian đi bộ</t>
  </si>
  <si>
    <t>How long does it take to walk there?</t>
  </si>
  <si>
    <t>Hỏi sân ga</t>
  </si>
  <si>
    <t>Which platform does the train to Madrid leave from?</t>
  </si>
  <si>
    <t>Xác nhận đúng tàu</t>
  </si>
  <si>
    <t>Is this the right train to Porto?</t>
  </si>
  <si>
    <t>Gọi taxi lớn</t>
  </si>
  <si>
    <t>We need a taxi for eight people with luggage.</t>
  </si>
  <si>
    <t>Báo địa chỉ cho tài xế</t>
  </si>
  <si>
    <t>Could you take us to this address, please?</t>
  </si>
  <si>
    <t>Đưa màn hình điện thoại có địa chỉ.</t>
  </si>
  <si>
    <t>Hỏi chỗ trống</t>
  </si>
  <si>
    <t>Excuse me, is this seat taken?</t>
  </si>
  <si>
    <t>Tham quan</t>
  </si>
  <si>
    <t>Đưa vé đã mua</t>
  </si>
  <si>
    <t>We booked online. Here's the QR code for eight people.</t>
  </si>
  <si>
    <t>Hỏi lối vào vé đặt trước</t>
  </si>
  <si>
    <t>Where's the entrance for pre-booked tickets?</t>
  </si>
  <si>
    <t>Hỏi thuyết minh</t>
  </si>
  <si>
    <t>Is there an audio guide in English?</t>
  </si>
  <si>
    <t>Hỏi chụp ảnh</t>
  </si>
  <si>
    <t>Can we take photos inside?</t>
  </si>
  <si>
    <t>Nhờ chụp ảnh</t>
  </si>
  <si>
    <t>Could you take a photo of us, please? Just press here.</t>
  </si>
  <si>
    <t>Hỏi giờ đóng cửa</t>
  </si>
  <si>
    <t>What time do you close today?</t>
  </si>
  <si>
    <t>Mua sắm</t>
  </si>
  <si>
    <t>Hỏi giá</t>
  </si>
  <si>
    <t>How much is this?</t>
  </si>
  <si>
    <t>Hỏi cỡ</t>
  </si>
  <si>
    <t>Do you have this in a larger / smaller size?</t>
  </si>
  <si>
    <t>Xin phiếu hoàn thuế</t>
  </si>
  <si>
    <t>Can I get a tax-free form, please? Here's my passport.</t>
  </si>
  <si>
    <t>Chỉ xem</t>
  </si>
  <si>
    <t>Just looking, thank you.</t>
  </si>
  <si>
    <t>Triển lãm</t>
  </si>
  <si>
    <t>Giới thiệu 30 giây</t>
  </si>
  <si>
    <t>Hi, I'm J from [company] in Vietnam. We're a systems integrator working with government and enterprise customers in cybersecurity and network intelligence.</t>
  </si>
  <si>
    <t>Sửa [company] và lĩnh vực cho đúng.</t>
  </si>
  <si>
    <t>Hỏi sản phẩm mới</t>
  </si>
  <si>
    <t>What's new in your portfolio this year?</t>
  </si>
  <si>
    <t>Xin demo</t>
  </si>
  <si>
    <t>Could you give me a quick demo?</t>
  </si>
  <si>
    <t>Hỏi đối tác khu vực</t>
  </si>
  <si>
    <t>Do you have a partner or distributor in Southeast Asia?</t>
  </si>
  <si>
    <t>Hỏi khách hàng tham chiếu</t>
  </si>
  <si>
    <t>Which customers in Asia are using this today?</t>
  </si>
  <si>
    <t>Hỏi triển khai</t>
  </si>
  <si>
    <t>Is it deployed on-premises? Can it run fully offline?</t>
  </si>
  <si>
    <t>Khách chính phủ VN thường yêu cầu on-prem.</t>
  </si>
  <si>
    <t>Xin tài liệu, báo giá</t>
  </si>
  <si>
    <t>Could you send me the datasheet and a budgetary quote?</t>
  </si>
  <si>
    <t>Hỏi người phụ trách</t>
  </si>
  <si>
    <t>Who should I talk to about a partnership?</t>
  </si>
  <si>
    <t>Kết thúc</t>
  </si>
  <si>
    <t>Thanks for your time. Let's exchange cards, and I'll follow up by email next week.</t>
  </si>
  <si>
    <t>Khẩn cấp</t>
  </si>
  <si>
    <t>Kêu cứu</t>
  </si>
  <si>
    <t>Help! Please call the police!</t>
  </si>
  <si>
    <t>Số khẩn cấp 112.</t>
  </si>
  <si>
    <t>Mất đồ</t>
  </si>
  <si>
    <t>I've lost my passport / wallet. / My bag was stolen.</t>
  </si>
  <si>
    <t>Cần bác sĩ</t>
  </si>
  <si>
    <t>I need a doctor. Where's the nearest pharmacy / hospital?</t>
  </si>
  <si>
    <t>Gọi cấp cứu</t>
  </si>
  <si>
    <t>Could you call an ambulance, please?</t>
  </si>
  <si>
    <t>Hỏi ĐSQ</t>
  </si>
  <si>
    <t>Where is the Embassy of Vietnam?</t>
  </si>
  <si>
    <t>Trò chuyện</t>
  </si>
  <si>
    <t>Giới thiệu đoàn</t>
  </si>
  <si>
    <t>We're from Hanoi, Vietnam. It's our first time in Spain.</t>
  </si>
  <si>
    <t>Hỏi lại</t>
  </si>
  <si>
    <t>Sorry, could you say that again more slowly?</t>
  </si>
  <si>
    <t>Nâng ly</t>
  </si>
  <si>
    <t>Cheers! To a great trip!</t>
  </si>
  <si>
    <t>Từ địa phương tối thiểu và bảng đọc thực đơn</t>
  </si>
  <si>
    <t>Ở Barcelona, thực đơn hay ghi tiếng Catalan; ở Lisbon và Porto ghi tiếng Bồ Đào Nha. Người BĐN quý khách nói "Obrigado/Obrigada" hơn là nói tiếng TBN.</t>
  </si>
  <si>
    <t>1. 11 câu nói tối thiểu</t>
  </si>
  <si>
    <t>Tiếng Việt</t>
  </si>
  <si>
    <t>English</t>
  </si>
  <si>
    <t>Catalan (Barcelona)</t>
  </si>
  <si>
    <t>Xin chào</t>
  </si>
  <si>
    <t>Hello / Good morning</t>
  </si>
  <si>
    <t>Bonjour</t>
  </si>
  <si>
    <t>Hola / Buenos días</t>
  </si>
  <si>
    <t>Olá / Bom dia</t>
  </si>
  <si>
    <t>Hola / Bon dia</t>
  </si>
  <si>
    <t>Cảm ơn</t>
  </si>
  <si>
    <t>Thank you</t>
  </si>
  <si>
    <t>Merci</t>
  </si>
  <si>
    <t>Gracias</t>
  </si>
  <si>
    <t>Obrigado (nam) / Obrigada (nữ)</t>
  </si>
  <si>
    <t>Gràcies</t>
  </si>
  <si>
    <t>Làm ơn</t>
  </si>
  <si>
    <t>Please</t>
  </si>
  <si>
    <t>S'il vous plaît</t>
  </si>
  <si>
    <t>Por favor</t>
  </si>
  <si>
    <t>Si us plau</t>
  </si>
  <si>
    <t>Xin lỗi, cho qua</t>
  </si>
  <si>
    <t>Excuse me</t>
  </si>
  <si>
    <t>Pardon</t>
  </si>
  <si>
    <t>Perdón / Disculpe</t>
  </si>
  <si>
    <t>Com licença / Desculpe</t>
  </si>
  <si>
    <t>Perdó</t>
  </si>
  <si>
    <t>Tạm biệt</t>
  </si>
  <si>
    <t>Goodbye</t>
  </si>
  <si>
    <t>Au revoir</t>
  </si>
  <si>
    <t>Adiós</t>
  </si>
  <si>
    <t>Adeus / Tchau</t>
  </si>
  <si>
    <t>Adéu</t>
  </si>
  <si>
    <t>Có / Không</t>
  </si>
  <si>
    <t>Yes / No</t>
  </si>
  <si>
    <t>Oui / Non</t>
  </si>
  <si>
    <t>Sí / No</t>
  </si>
  <si>
    <t>Sim / Não</t>
  </si>
  <si>
    <t>Cho xin hóa đơn</t>
  </si>
  <si>
    <t>The bill, please</t>
  </si>
  <si>
    <t>L'addition, s'il vous plaît</t>
  </si>
  <si>
    <t>La cuenta, por favor</t>
  </si>
  <si>
    <t>A conta, por favor</t>
  </si>
  <si>
    <t>El compte, si us plau</t>
  </si>
  <si>
    <t>Cheers!</t>
  </si>
  <si>
    <t>Santé !</t>
  </si>
  <si>
    <t>¡Salud!</t>
  </si>
  <si>
    <t>Saúde!</t>
  </si>
  <si>
    <t>Salut!</t>
  </si>
  <si>
    <t>Ngon quá</t>
  </si>
  <si>
    <t>Delicious</t>
  </si>
  <si>
    <t>C'est délicieux</t>
  </si>
  <si>
    <t>¡Qué rico!</t>
  </si>
  <si>
    <t>Muito bom / Delicioso</t>
  </si>
  <si>
    <t>Boníssim</t>
  </si>
  <si>
    <t>Nhà vệ sinh ở đâu?</t>
  </si>
  <si>
    <t>Where is the toilet?</t>
  </si>
  <si>
    <t>Où sont les toilettes ?</t>
  </si>
  <si>
    <t>¿Dónde está el baño?</t>
  </si>
  <si>
    <t>Onde é a casa de banho?</t>
  </si>
  <si>
    <t>On és el lavabo?</t>
  </si>
  <si>
    <t>Bao nhiêu tiền?</t>
  </si>
  <si>
    <t>How much is it?</t>
  </si>
  <si>
    <t>C'est combien ?</t>
  </si>
  <si>
    <t>¿Cuánto cuesta?</t>
  </si>
  <si>
    <t>Quanto custa?</t>
  </si>
  <si>
    <t>Quant costa?</t>
  </si>
  <si>
    <t>2. Bảng đọc thực đơn</t>
  </si>
  <si>
    <t>THỊT</t>
  </si>
  <si>
    <t>Thịt bò</t>
  </si>
  <si>
    <t>Beef</t>
  </si>
  <si>
    <t>Bœuf</t>
  </si>
  <si>
    <t>Ternera / Vaca / Buey</t>
  </si>
  <si>
    <t>Vaca / Novilho</t>
  </si>
  <si>
    <t>Thịt bê</t>
  </si>
  <si>
    <t>Veal</t>
  </si>
  <si>
    <t>Veau</t>
  </si>
  <si>
    <t>Ternera (lechal)</t>
  </si>
  <si>
    <t>Vitela</t>
  </si>
  <si>
    <t>Thịt lợn</t>
  </si>
  <si>
    <t>Pork</t>
  </si>
  <si>
    <t>Porc</t>
  </si>
  <si>
    <t>Cerdo</t>
  </si>
  <si>
    <t>Porco</t>
  </si>
  <si>
    <t>Lợn sữa quay</t>
  </si>
  <si>
    <t>Suckling pig</t>
  </si>
  <si>
    <t>Cochon de lait</t>
  </si>
  <si>
    <t>Cochinillo</t>
  </si>
  <si>
    <t>Leitão</t>
  </si>
  <si>
    <t>Thịt gà</t>
  </si>
  <si>
    <t>Chicken</t>
  </si>
  <si>
    <t>Poulet</t>
  </si>
  <si>
    <t>Pollo</t>
  </si>
  <si>
    <t>Frango</t>
  </si>
  <si>
    <t>Vịt</t>
  </si>
  <si>
    <t>Duck</t>
  </si>
  <si>
    <t>Canard</t>
  </si>
  <si>
    <t>Pato</t>
  </si>
  <si>
    <t>Cừu non</t>
  </si>
  <si>
    <t>Lamb</t>
  </si>
  <si>
    <t>Agneau</t>
  </si>
  <si>
    <t>Cordero</t>
  </si>
  <si>
    <t>Borrego</t>
  </si>
  <si>
    <t>Giăm bông muối</t>
  </si>
  <si>
    <t>Cured ham</t>
  </si>
  <si>
    <t>Jambon cru</t>
  </si>
  <si>
    <t>Jamón</t>
  </si>
  <si>
    <t>Presunto</t>
  </si>
  <si>
    <t>Xúc xích</t>
  </si>
  <si>
    <t>Sausage</t>
  </si>
  <si>
    <t>Saucisse</t>
  </si>
  <si>
    <t>Chorizo / Salchicha</t>
  </si>
  <si>
    <t>Chouriço / Salsicha</t>
  </si>
  <si>
    <t>Lòng (dạ dày bò)</t>
  </si>
  <si>
    <t>Tripe</t>
  </si>
  <si>
    <t>Tripes</t>
  </si>
  <si>
    <t>Callos</t>
  </si>
  <si>
    <t>Tripas</t>
  </si>
  <si>
    <t>HẢI SẢN</t>
  </si>
  <si>
    <t>Cá</t>
  </si>
  <si>
    <t>Fish</t>
  </si>
  <si>
    <t>Poisson</t>
  </si>
  <si>
    <t>Pescado</t>
  </si>
  <si>
    <t>Peixe</t>
  </si>
  <si>
    <t>Cá tuyết muối</t>
  </si>
  <si>
    <t>Salt cod</t>
  </si>
  <si>
    <t>Morue</t>
  </si>
  <si>
    <t>Bacalao</t>
  </si>
  <si>
    <t>Bacalhau</t>
  </si>
  <si>
    <t>Bạch tuộc</t>
  </si>
  <si>
    <t>Octopus</t>
  </si>
  <si>
    <t>Poulpe</t>
  </si>
  <si>
    <t>Pulpo</t>
  </si>
  <si>
    <t>Polvo</t>
  </si>
  <si>
    <t>Mực ống</t>
  </si>
  <si>
    <t>Squid</t>
  </si>
  <si>
    <t>Calamar</t>
  </si>
  <si>
    <t>Lula</t>
  </si>
  <si>
    <t>Tôm</t>
  </si>
  <si>
    <t>Prawns / Shrimp</t>
  </si>
  <si>
    <t>Crevettes</t>
  </si>
  <si>
    <t>Gambas</t>
  </si>
  <si>
    <t>Camarão</t>
  </si>
  <si>
    <t>Nghêu</t>
  </si>
  <si>
    <t>Clams</t>
  </si>
  <si>
    <t>Palourdes</t>
  </si>
  <si>
    <t>Almejas</t>
  </si>
  <si>
    <t>Amêijoas</t>
  </si>
  <si>
    <t>Vẹm</t>
  </si>
  <si>
    <t>Mussels</t>
  </si>
  <si>
    <t>Moules</t>
  </si>
  <si>
    <t>Mejillones</t>
  </si>
  <si>
    <t>Mexilhões</t>
  </si>
  <si>
    <t>Cá mòi</t>
  </si>
  <si>
    <t>Sardines</t>
  </si>
  <si>
    <t>Sardinas</t>
  </si>
  <si>
    <t>Sardinhas</t>
  </si>
  <si>
    <t>Hàu</t>
  </si>
  <si>
    <t>Oysters</t>
  </si>
  <si>
    <t>Huîtres</t>
  </si>
  <si>
    <t>Ostras</t>
  </si>
  <si>
    <t>RAU, GIA VỊ</t>
  </si>
  <si>
    <t>Rau mùi</t>
  </si>
  <si>
    <t>Coriander / Cilantro</t>
  </si>
  <si>
    <t>Coriandre</t>
  </si>
  <si>
    <t>Cilantro</t>
  </si>
  <si>
    <t>Coentros</t>
  </si>
  <si>
    <t>Bạc hà, húng lủi</t>
  </si>
  <si>
    <t>Mint</t>
  </si>
  <si>
    <t>Menthe</t>
  </si>
  <si>
    <t>Hierbabuena / Menta</t>
  </si>
  <si>
    <t>Hortelã</t>
  </si>
  <si>
    <t>Húng quế</t>
  </si>
  <si>
    <t>Basil</t>
  </si>
  <si>
    <t>Basilic</t>
  </si>
  <si>
    <t>Albahaca</t>
  </si>
  <si>
    <t>Manjericão</t>
  </si>
  <si>
    <t>Mùi tây</t>
  </si>
  <si>
    <t>Parsley</t>
  </si>
  <si>
    <t>Persil</t>
  </si>
  <si>
    <t>Perejil</t>
  </si>
  <si>
    <t>Salsa (không phải nước sốt)</t>
  </si>
  <si>
    <t>Thì là</t>
  </si>
  <si>
    <t>Dill</t>
  </si>
  <si>
    <t>Aneth</t>
  </si>
  <si>
    <t>Eneldo</t>
  </si>
  <si>
    <t>Endro</t>
  </si>
  <si>
    <t>Tỏi</t>
  </si>
  <si>
    <t>Garlic</t>
  </si>
  <si>
    <t>Ail</t>
  </si>
  <si>
    <t>Ajo</t>
  </si>
  <si>
    <t>Alho</t>
  </si>
  <si>
    <t>Hành tây</t>
  </si>
  <si>
    <t>Onion</t>
  </si>
  <si>
    <t>Oignon</t>
  </si>
  <si>
    <t>Cebolla</t>
  </si>
  <si>
    <t>Cebola</t>
  </si>
  <si>
    <t>Ớt cay</t>
  </si>
  <si>
    <t>Chilli</t>
  </si>
  <si>
    <t>Piment</t>
  </si>
  <si>
    <t>Guindilla / Chile</t>
  </si>
  <si>
    <t>Piri-piri / Malagueta</t>
  </si>
  <si>
    <t>Ớt chuông</t>
  </si>
  <si>
    <t>Bell pepper</t>
  </si>
  <si>
    <t>Poivron</t>
  </si>
  <si>
    <t>Pimiento</t>
  </si>
  <si>
    <t>Pimento</t>
  </si>
  <si>
    <t>Cà tím</t>
  </si>
  <si>
    <t>Aubergine / Eggplant</t>
  </si>
  <si>
    <t>Aubergine</t>
  </si>
  <si>
    <t>Berenjena</t>
  </si>
  <si>
    <t>Beringela</t>
  </si>
  <si>
    <t>Nấm</t>
  </si>
  <si>
    <t>Mushrooms</t>
  </si>
  <si>
    <t>Champignons</t>
  </si>
  <si>
    <t>Setas / Champiñones</t>
  </si>
  <si>
    <t>Cogumelos</t>
  </si>
  <si>
    <t>Rau chân vịt</t>
  </si>
  <si>
    <t>Spinach</t>
  </si>
  <si>
    <t>Épinards</t>
  </si>
  <si>
    <t>Espinacas</t>
  </si>
  <si>
    <t>Espinafres</t>
  </si>
  <si>
    <t>Xà lách</t>
  </si>
  <si>
    <t>Lettuce / Salad</t>
  </si>
  <si>
    <t>Salade</t>
  </si>
  <si>
    <t>Lechuga / Ensalada</t>
  </si>
  <si>
    <t>Alface / Salada</t>
  </si>
  <si>
    <t>Khoai tây</t>
  </si>
  <si>
    <t>Potatoes</t>
  </si>
  <si>
    <t>Pommes de terre</t>
  </si>
  <si>
    <t>Patatas</t>
  </si>
  <si>
    <t>Batatas</t>
  </si>
  <si>
    <t>CÁCH CHẾ BIẾN</t>
  </si>
  <si>
    <t>Nướng vỉ / áp chảo</t>
  </si>
  <si>
    <t>Grilled</t>
  </si>
  <si>
    <t>Grillé</t>
  </si>
  <si>
    <t>A la plancha / A la parrilla</t>
  </si>
  <si>
    <t>Grelhado</t>
  </si>
  <si>
    <t>Quay, nướng lò</t>
  </si>
  <si>
    <t>Roasted</t>
  </si>
  <si>
    <t>Rôti</t>
  </si>
  <si>
    <t>Asado</t>
  </si>
  <si>
    <t>Assado</t>
  </si>
  <si>
    <t>Chiên</t>
  </si>
  <si>
    <t>Fried</t>
  </si>
  <si>
    <t>Frit</t>
  </si>
  <si>
    <t>Frito</t>
  </si>
  <si>
    <t>Hầm</t>
  </si>
  <si>
    <t>Stewed</t>
  </si>
  <si>
    <t>Mijoté / En ragoût</t>
  </si>
  <si>
    <t>Guisado / Estofado</t>
  </si>
  <si>
    <t>Estufado / Guisado</t>
  </si>
  <si>
    <t>Hấp</t>
  </si>
  <si>
    <t>Steamed</t>
  </si>
  <si>
    <t>À la vapeur</t>
  </si>
  <si>
    <t>Al vapor</t>
  </si>
  <si>
    <t>Ao vapor</t>
  </si>
  <si>
    <t>Sống</t>
  </si>
  <si>
    <t>Raw</t>
  </si>
  <si>
    <t>Cru</t>
  </si>
  <si>
    <t>Crudo</t>
  </si>
  <si>
    <t>Tái</t>
  </si>
  <si>
    <t>Rare</t>
  </si>
  <si>
    <t>Saignant</t>
  </si>
  <si>
    <t>Poco hecho</t>
  </si>
  <si>
    <t>Mal passado</t>
  </si>
  <si>
    <t>Vừa</t>
  </si>
  <si>
    <t>Medium</t>
  </si>
  <si>
    <t>À point</t>
  </si>
  <si>
    <t>Al punto</t>
  </si>
  <si>
    <t>Médio</t>
  </si>
  <si>
    <t>Chín kỹ</t>
  </si>
  <si>
    <t>Well-done</t>
  </si>
  <si>
    <t>Bien cuit</t>
  </si>
  <si>
    <t>Muy hecho</t>
  </si>
  <si>
    <t>Bem passado</t>
  </si>
  <si>
    <t>Cay / Mặn / Ngọt</t>
  </si>
  <si>
    <t>Spicy / Salty / Sweet</t>
  </si>
  <si>
    <t>Épicé / Salé / Sucré</t>
  </si>
  <si>
    <t>Picante / Salado / Dulce</t>
  </si>
  <si>
    <t>Picante / Salgado / Doce</t>
  </si>
  <si>
    <t>ĐỒ UỐNG</t>
  </si>
  <si>
    <t>Nước máy</t>
  </si>
  <si>
    <t>Tap water</t>
  </si>
  <si>
    <t>Carafe d'eau</t>
  </si>
  <si>
    <t>Agua del grifo</t>
  </si>
  <si>
    <t>Água da torneira</t>
  </si>
  <si>
    <t>Nước có ga / không ga</t>
  </si>
  <si>
    <t>Sparkling / Still</t>
  </si>
  <si>
    <t>Gazeuse / Plate</t>
  </si>
  <si>
    <t>Con gas / Sin gas</t>
  </si>
  <si>
    <t>Com gás / Sem gás</t>
  </si>
  <si>
    <t>Cà phê đen nhỏ</t>
  </si>
  <si>
    <t>Espresso</t>
  </si>
  <si>
    <t>Un café</t>
  </si>
  <si>
    <t>Un café solo</t>
  </si>
  <si>
    <t>Um café / Bica</t>
  </si>
  <si>
    <t>Cà phê sữa</t>
  </si>
  <si>
    <t>White coffee</t>
  </si>
  <si>
    <t>Café crème</t>
  </si>
  <si>
    <t>Café con leche</t>
  </si>
  <si>
    <t>Galão / Meia de leite</t>
  </si>
  <si>
    <t>Bia tươi cốc nhỏ</t>
  </si>
  <si>
    <t>Small draught beer</t>
  </si>
  <si>
    <t>Un demi</t>
  </si>
  <si>
    <t>Una caña</t>
  </si>
  <si>
    <t>Uma imperial (Lisbon) / Um fino (Porto)</t>
  </si>
  <si>
    <t>Vang đỏ / trắng</t>
  </si>
  <si>
    <t>Red / White wine</t>
  </si>
  <si>
    <t>Vin rouge / blanc</t>
  </si>
  <si>
    <t>Vino tinto / blanco</t>
  </si>
  <si>
    <t>Vinho tinto / branco</t>
  </si>
  <si>
    <t>Vang nhà</t>
  </si>
  <si>
    <t>House wine</t>
  </si>
  <si>
    <t>Vin de la maison</t>
  </si>
  <si>
    <t>Vino de la casa</t>
  </si>
  <si>
    <t>Vinho da casa</t>
  </si>
  <si>
    <t>Lộ trình học 3 tuần trước chuyến đi (10/10–30/10)</t>
  </si>
  <si>
    <t>Học theo đúng thứ tự lịch trình để kiến thức gắn với từng ngày đi. Mỗi ngày 30–60 phút.</t>
  </si>
  <si>
    <t>Cách học cho dễ nhớ</t>
  </si>
  <si>
    <t>1. Học theo thứ tự lịch trình</t>
  </si>
  <si>
    <t>Mỗi ngày 1 thành phố hoặc 1 chủ đề, 30–45 phút. Trong chuyến đi: tối hôm trước đọc lại 5 điểm của địa điểm ngày mai (5 phút).</t>
  </si>
  <si>
    <t>2. Công thức cho 1 địa điểm</t>
  </si>
  <si>
    <t>Đọc 5 điểm trong sheet (5 phút) → xem 1 video dài YouTube ở tốc độ 1.25x (15–20 phút) → xem 1 video TikTok về mẹo thực tế → nhắm mắt nói lại 5 điểm, ghi âm 1 phút → đọc to câu tiếng Anh mẫu 3 lần.</t>
  </si>
  <si>
    <t>3. Nghe khi chạy bộ</t>
  </si>
  <si>
    <t>Chọn video thuyết minh, phỏng vấn (nghe không cần nhìn) cho các buổi chạy; gộp mục Running và Knowledge vào một khung giờ.</t>
  </si>
  <si>
    <t>4. Flashcard ôn ngắt quãng</t>
  </si>
  <si>
    <t>Chép cột "5 điểm" và "Câu tiếng Anh" vào Anki hoặc Quizlet, hoặc nạp vào thư viện câu của app Shadow English để luyện shadowing và chấm phát âm. Ôn lại sau 1, 3 và 7 ngày.</t>
  </si>
  <si>
    <t>5. Học qua phim</t>
  </si>
  <si>
    <t>Midnight in Paris (Paris); Vicky Cristina Barcelona (Barcelona); Night Train to Lisbon (Lisbon); Game of Thrones mùa 7 (Cáceres); tập Lisbon của Somebody Feed Phil trên Netflix (ẩm thực).</t>
  </si>
  <si>
    <t>6. Chia việc trong đoàn</t>
  </si>
  <si>
    <t>Mỗi người nhận 1 điểm đến làm "hướng dẫn viên", thuyết minh 5 phút khi cả đoàn tới nơi: Paris; Barcelona; Madrid; Trujillo + Cáceres; Lisbon; Sintra; Porto; Rượu và bia. 8 người, 8 phần.</t>
  </si>
  <si>
    <t>7. Tiếng Anh theo tình huống</t>
  </si>
  <si>
    <t>Mỗi ngày 5 câu trong sheet Tiếng Anh, đọc to. Ngày 30/10 đóng vai: gọi món, nhận phòng, hỏi đường, chào hàng ở triển lãm.</t>
  </si>
  <si>
    <t>Kế hoạch từng ngày</t>
  </si>
  <si>
    <t>Học gì (sheet)</t>
  </si>
  <si>
    <t>Xem / nghe (từ khóa)</t>
  </si>
  <si>
    <t>Đầu ra: tự kiểm tra</t>
  </si>
  <si>
    <t>Phút</t>
  </si>
  <si>
    <t>Xong?</t>
  </si>
  <si>
    <t>10/10 (T7)</t>
  </si>
  <si>
    <t>Pháp: bức tranh chung</t>
  </si>
  <si>
    <t>Văn hóa &amp; lịch sử: Pháp</t>
  </si>
  <si>
    <t>YouTube: "Rick Steves Paris"</t>
  </si>
  <si>
    <t>Kể được 5 mốc lịch sử Pháp và 3 liên hệ với Việt Nam</t>
  </si>
  <si>
    <t>11/10 (CN)</t>
  </si>
  <si>
    <t>Paris: 5 địa điểm</t>
  </si>
  <si>
    <t>5 điểm cần nói: Paris</t>
  </si>
  <si>
    <t>YouTube: "Eiffel Tower history", "Notre-Dame reopening 2024"; phim Midnight in Paris</t>
  </si>
  <si>
    <t>Nói được 5 điểm về Eiffel, Seine, Louvre, Notre-Dame, Khải Hoàn Môn</t>
  </si>
  <si>
    <t>12/10 (T2)</t>
  </si>
  <si>
    <t>Ẩm thực và vang Pháp</t>
  </si>
  <si>
    <t>Ẩm thực: Paris; Rượu vang &amp; bia: Pháp</t>
  </si>
  <si>
    <t>YouTube: "French food to try in Paris", "Bordeaux vs Burgundy explained"</t>
  </si>
  <si>
    <t>Phân biệt Bordeaux, Bourgogne, Champagne; gọi được 3 món bằng tiếng Anh</t>
  </si>
  <si>
    <t>13/10 (T3)</t>
  </si>
  <si>
    <t>Tây Ban Nha và Catalonia</t>
  </si>
  <si>
    <t>Văn hóa &amp; lịch sử: TBN</t>
  </si>
  <si>
    <t>YouTube: "Rick Steves Barcelona", "Catalonia explained"</t>
  </si>
  <si>
    <t>Kể 5 mốc lịch sử TBN; nhớ giờ ăn; 5 từ tiếng Catalan</t>
  </si>
  <si>
    <t>14/10 (T4)</t>
  </si>
  <si>
    <t>Barcelona và Gaudí</t>
  </si>
  <si>
    <t>5 điểm cần nói: Barcelona</t>
  </si>
  <si>
    <t>YouTube: "Sagrada Familia documentary", "Park Guell guide"; TikTok: #sagradafamilia</t>
  </si>
  <si>
    <t>Nói 5 điểm về Sagrada Família, Park Güell, phố cổ Gothic</t>
  </si>
  <si>
    <t>15/10 (T5)</t>
  </si>
  <si>
    <t>Tapas, ẩm thực Catalan, bia TBN</t>
  </si>
  <si>
    <t>Ẩm thực: Barcelona; Rượu vang &amp; bia: TBN</t>
  </si>
  <si>
    <t>YouTube: "Barcelona tapas guide"</t>
  </si>
  <si>
    <t>Gọi được 5 món tapas và "una caña"</t>
  </si>
  <si>
    <t>16/10 (T6)</t>
  </si>
  <si>
    <t>Ôn tuần 1 + tiếng Anh nhà hàng</t>
  </si>
  <si>
    <t>Tiếng Anh: Nhà hàng; bảng đọc thực đơn</t>
  </si>
  <si>
    <t>Phim Vicky Cristina Barcelona</t>
  </si>
  <si>
    <t>Đóng vai gọi món 5 phút bằng tiếng Anh</t>
  </si>
  <si>
    <t>17/10 (T7)</t>
  </si>
  <si>
    <t>5 điểm cần nói: Madrid</t>
  </si>
  <si>
    <t>YouTube: "Rick Steves Madrid", "Royal Palace of Madrid tour"</t>
  </si>
  <si>
    <t>Nói 5 điểm về Cung điện, Plaza Mayor, Gran Vía, Puerta del Sol</t>
  </si>
  <si>
    <t>18/10 (CN)</t>
  </si>
  <si>
    <t>Ẩm thực Madrid, vang Rioja và Ribera</t>
  </si>
  <si>
    <t>Ẩm thực: Madrid; Rượu vang &amp; bia: TBN</t>
  </si>
  <si>
    <t>YouTube: "Madrid food tour", "Rioja Crianza Reserva Gran Reserva explained"</t>
  </si>
  <si>
    <t>Giải thích được Crianza, Reserva, Gran Reserva</t>
  </si>
  <si>
    <t>19/10 (T2)</t>
  </si>
  <si>
    <t>Trujillo, Cáceres, jamón ibérico</t>
  </si>
  <si>
    <t>5 điểm cần nói + Ẩm thực: Trujillo, Cáceres</t>
  </si>
  <si>
    <t>YouTube: "Caceres Game of Thrones filming locations", "jamon iberico de bellota explained"</t>
  </si>
  <si>
    <t>Kể chuyện tháp Cò và Pizarro</t>
  </si>
  <si>
    <t>20/10 (T3)</t>
  </si>
  <si>
    <t>Tiếng Anh triển lãm, chọn hãng cần gặp</t>
  </si>
  <si>
    <t>Tiếng Anh: Triển lãm; Việc cần làm mục 14</t>
  </si>
  <si>
    <t>Web BCC, TECNOSEC (danh sách exhibitor)</t>
  </si>
  <si>
    <t>Câu giới thiệu 30 giây trôi chảy; danh sách 10–15 hãng, đã gửi email hẹn</t>
  </si>
  <si>
    <t>21/10 (T4)</t>
  </si>
  <si>
    <t>Bồ Đào Nha: bức tranh chung</t>
  </si>
  <si>
    <t>Văn hóa &amp; lịch sử: BĐN</t>
  </si>
  <si>
    <t>YouTube: "History of Portugal explained", "1755 Lisbon earthquake"</t>
  </si>
  <si>
    <t>Kể 5 mốc lịch sử BĐN; chuyện chữ Quốc ngữ</t>
  </si>
  <si>
    <t>22/10 (T5)</t>
  </si>
  <si>
    <t>Lisbon và Fado</t>
  </si>
  <si>
    <t>5 điểm cần nói: Lisbon</t>
  </si>
  <si>
    <t>YouTube: "Rick Steves Lisbon"; nghe Amália Rodrigues "Barco Negro"; phim Night Train to Lisbon</t>
  </si>
  <si>
    <t>Nói 5 điểm về Praça do Comércio, Fado, Belém</t>
  </si>
  <si>
    <t>23/10 (T6)</t>
  </si>
  <si>
    <t>Ôn tuần 2</t>
  </si>
  <si>
    <t>Flashcard các địa điểm đã học</t>
  </si>
  <si>
    <t>Tự nói 1 phút cho mỗi địa điểm (ghi âm, nghe lại)</t>
  </si>
  <si>
    <t>24/10 (T7)</t>
  </si>
  <si>
    <t>Sintra và Cabo da Roca</t>
  </si>
  <si>
    <t>5 điểm cần nói: Sintra</t>
  </si>
  <si>
    <t>YouTube: "Pena Palace Sintra guide"; TikTok: #sintra</t>
  </si>
  <si>
    <t>Nói 5 điểm về Pena và Cabo da Roca</t>
  </si>
  <si>
    <t>25/10 (CN)</t>
  </si>
  <si>
    <t>5 điểm cần nói: Porto</t>
  </si>
  <si>
    <t>YouTube: "Rick Steves Porto", "Sao Bento station azulejos"</t>
  </si>
  <si>
    <t>Nói 5 điểm về São Bento, Clérigos, Ribeira, cầu Dom Luís I</t>
  </si>
  <si>
    <t>26/10 (T2)</t>
  </si>
  <si>
    <t>Rượu Port, Vinho Verde, bia BĐN</t>
  </si>
  <si>
    <t>Rượu vang &amp; bia: BĐN</t>
  </si>
  <si>
    <t>YouTube: "Port wine explained ruby tawny vintage"</t>
  </si>
  <si>
    <t>Phân biệt Ruby, Tawny, LBV, Vintage</t>
  </si>
  <si>
    <t>27/10 (T3)</t>
  </si>
  <si>
    <t>Ẩm thực BĐN, đọc thực đơn 4 thứ tiếng</t>
  </si>
  <si>
    <t>Ẩm thực: Lisbon, Porto; Tiếng Anh: bảng thực đơn</t>
  </si>
  <si>
    <t>Netflix: Somebody Feed Phil, tập Lisbon</t>
  </si>
  <si>
    <t>Đọc hiểu thực đơn có bacalhau, polvo, porco, borrego</t>
  </si>
  <si>
    <t>28/10 (T4)</t>
  </si>
  <si>
    <t>Tiếng Anh: khách sạn, di chuyển, khẩn cấp</t>
  </si>
  <si>
    <t>Tiếng Anh</t>
  </si>
  <si>
    <t>App Shadow English: luyện shadowing các câu trong sheet</t>
  </si>
  <si>
    <t>Nói trôi chảy 20 câu</t>
  </si>
  <si>
    <t>29/10 (T5)</t>
  </si>
  <si>
    <t>Kỹ năng chụp ảnh</t>
  </si>
  <si>
    <t>Chụp ảnh &amp; chạy bộ</t>
  </si>
  <si>
    <t>YouTube: "phone travel photography tips"</t>
  </si>
  <si>
    <t>Thực hành 8 mẹo; thử chụp ảnh nhóm bằng chân máy + hẹn giờ</t>
  </si>
  <si>
    <t>30/10 (T6)</t>
  </si>
  <si>
    <t>Tổng duyệt</t>
  </si>
  <si>
    <t>Toàn bộ</t>
  </si>
  <si>
    <t>Mỗi người thuyết minh thử phần mình phụ trách 5 phút; đóng vali</t>
  </si>
  <si>
    <t>Tổng thời gian (giờ):</t>
  </si>
  <si>
    <t>Số ngày đã xong:</t>
  </si>
  <si>
    <t>Kỹ năng chụp ảnh, điểm chụp từng ngày, cung chạy bộ</t>
  </si>
  <si>
    <t>1. 8 mẹo chụp ảnh bằng điện thoại</t>
  </si>
  <si>
    <t>Bật lưới 3×3</t>
  </si>
  <si>
    <t>Đặt người hoặc công trình ở giao điểm các đường lưới; đường chân trời nằm trên đường lưới ngang, không cắt giữa ảnh.</t>
  </si>
  <si>
    <t>Giờ vàng, giờ xanh</t>
  </si>
  <si>
    <t>Giờ vàng: khoảng 1 tiếng trước hoàng hôn (tháng 11: Paris, Lisbon, Porto ~16:20–17:20; Madrid, Cáceres ~17:00–18:15). Giờ xanh: 20–30 phút sau hoàng hôn, hợp ảnh thành phố lên đèn (Eiffel, cầu Dom Luís I).</t>
  </si>
  <si>
    <t>Ảnh nhóm 8 người</t>
  </si>
  <si>
    <t>Mang chân máy mini + remote Bluetooth; xếp 2 hàng (hàng trước hơi ngồi thấp); bật chụp liên tiếp 10 tấm để chọn tấm không ai nhắm mắt.</t>
  </si>
  <si>
    <t>Người với công trình lớn</t>
  </si>
  <si>
    <t>Người đứng gần máy, máy hạ thấp ngang hông và ngửa lên; dùng ống góc rộng 0.5x nhưng để người ở giữa khung để mặt không bị méo.</t>
  </si>
  <si>
    <t>Nội thất tối</t>
  </si>
  <si>
    <t>Sagrada Família, Pena: bật chế độ đêm, tựa máy vào cột, không bật flash; chụp kính màu hướng thẳng vào nguồn sáng.</t>
  </si>
  <si>
    <t>Video</t>
  </si>
  <si>
    <t>Quay ngang 4K 30fps để làm phim kỷ niệm; quay dọc 9:16 cho TikTok, Reels. Mỗi cảnh 5–10 giây, giữ máy đứng yên 2 giây đầu và cuối.</t>
  </si>
  <si>
    <t>Ánh sáng ngược</t>
  </si>
  <si>
    <t>Khi chụp người trước hoàng hôn: chạm vào mặt người trên màn hình để lấy nét và đo sáng, kéo nhẹ thanh sáng lên.</t>
  </si>
  <si>
    <t>Sao lưu</t>
  </si>
  <si>
    <t>Tối nào cũng đẩy ảnh lên 1 album Google Photos chung của đoàn; người chụp ảnh lọc 20 tấm đẹp nhất mỗi ngày.</t>
  </si>
  <si>
    <t>2. Điểm chụp đẹp theo ngày</t>
  </si>
  <si>
    <t>Điểm chụp</t>
  </si>
  <si>
    <t>Giờ đẹp</t>
  </si>
  <si>
    <t>17:00–18:00</t>
  </si>
  <si>
    <t>Toàn cảnh tháp Eiffel; giờ xanh tháp lên đèn.</t>
  </si>
  <si>
    <t>Cầu Bir-Hakeim</t>
  </si>
  <si>
    <t>Ban ngày</t>
  </si>
  <si>
    <t>Hàng cột thép, Eiffel phía sau.</t>
  </si>
  <si>
    <t>Pont del Bisbe, Plaça Reial</t>
  </si>
  <si>
    <t>16:30–17:30</t>
  </si>
  <si>
    <t>Ánh chiều trong phố cổ.</t>
  </si>
  <si>
    <t>Bunkers del Carmel</t>
  </si>
  <si>
    <t>Hoàng hôn 17:43</t>
  </si>
  <si>
    <t>Toàn cảnh Barcelona và Sagrada Família từ trên cao.</t>
  </si>
  <si>
    <t>Hồ Plaça de Gaudí</t>
  </si>
  <si>
    <t>Buổi sáng</t>
  </si>
  <si>
    <t>Mặt tiền Giáng sinh phản chiếu dưới hồ.</t>
  </si>
  <si>
    <t>04–05/11</t>
  </si>
  <si>
    <t>Sân thượng Círculo de Bellas Artes</t>
  </si>
  <si>
    <t>Hoàng hôn, giờ xanh</t>
  </si>
  <si>
    <t>Tòa Metropolis và Gran Vía.</t>
  </si>
  <si>
    <t>Plaza Mayor, cổng Cuchilleros</t>
  </si>
  <si>
    <t>Tối</t>
  </si>
  <si>
    <t>Quảng trường lên đèn.</t>
  </si>
  <si>
    <t>Lâu đài trên đồi</t>
  </si>
  <si>
    <t>Trưa</t>
  </si>
  <si>
    <t>Toàn cảnh thị trấn, đồng cỏ dehesa.</t>
  </si>
  <si>
    <t>Plaza Mayor nhìn lên Arco de la Estrella, tháp Bujaco</t>
  </si>
  <si>
    <t>18:18–19:00</t>
  </si>
  <si>
    <t>Phố cổ giờ xanh.</t>
  </si>
  <si>
    <t>Khải hoàn môn Rua Augusta, Praça do Comércio</t>
  </si>
  <si>
    <t>17:00–17:45</t>
  </si>
  <si>
    <t>Hoàng hôn trên sông Tejo.</t>
  </si>
  <si>
    <t>Sân trong và tường thành cung điện Pena</t>
  </si>
  <si>
    <t>Tường đỏ vàng; nếu sương mù, chụp cận chi tiết gạch men.</t>
  </si>
  <si>
    <t>Cột đá khắc thơ Camões, vách đá</t>
  </si>
  <si>
    <t>17:00–17:30</t>
  </si>
  <si>
    <t>Hoàng hôn trên Đại Tây Dương.</t>
  </si>
  <si>
    <t>Miradouro de Santa Luzia, Portas do Sol</t>
  </si>
  <si>
    <t>Mái ngói đỏ Alfama và sông Tejo.</t>
  </si>
  <si>
    <t>Jardim do Morro, Serra do Pilar</t>
  </si>
  <si>
    <t>Hoàng hôn 17:20</t>
  </si>
  <si>
    <t>Ribeira, cầu Dom Luís I; góc đẹp nhất Porto.</t>
  </si>
  <si>
    <t>Sảnh ga São Bento; phố Rua das Flores</t>
  </si>
  <si>
    <t>Gạch men azulejo, ít người.</t>
  </si>
  <si>
    <t>3. Cung chạy bộ: duy trì thói quen và "vượt giới hạn"</t>
  </si>
  <si>
    <t>Cung chạy</t>
  </si>
  <si>
    <t>Cự ly</t>
  </si>
  <si>
    <t>02/11 sáng</t>
  </si>
  <si>
    <t>Champ de Mars → bờ sông Seine → cầu Bir-Hakeim, vòng lại</t>
  </si>
  <si>
    <t>5–6 km</t>
  </si>
  <si>
    <t>Mặt trời mọc 07:37: chạy lúc trời còn tối, đi đường ven sông có đèn.</t>
  </si>
  <si>
    <t>03 hoặc 04/11 sáng</t>
  </si>
  <si>
    <t>Đường ven biển Barceloneta → Port Olímpic</t>
  </si>
  <si>
    <t>6–10 km</t>
  </si>
  <si>
    <t>Bằng phẳng; mặt trời mọc trên biển lúc 07:25.</t>
  </si>
  <si>
    <t>05/11 sáng</t>
  </si>
  <si>
    <t>Công viên Retiro, vòng ngoài</t>
  </si>
  <si>
    <t>~4 km/vòng</t>
  </si>
  <si>
    <t>Đường đất mềm, nhiều người chạy.</t>
  </si>
  <si>
    <t>07/11 sáng</t>
  </si>
  <si>
    <t>Vòng quanh tường thành phố cổ</t>
  </si>
  <si>
    <t>3–5 km</t>
  </si>
  <si>
    <t>Dốc, đường đá: chạy chậm, ngắm phố cổ lúc vắng.</t>
  </si>
  <si>
    <t>09/11 sáng (buổi dài)</t>
  </si>
  <si>
    <t>Praça do Comércio → Cais do Sodré → ven sông Tejo → tháp Belém</t>
  </si>
  <si>
    <t>~7 km một chiều; khứ hồi ~14 km</t>
  </si>
  <si>
    <t>Buổi chạy dài nhất chuyến để "vượt giới hạn". Về bằng tàu điện 15E nếu không chạy khứ hồi.</t>
  </si>
  <si>
    <t>10/11 sáng</t>
  </si>
  <si>
    <t>Ribeira → ven sông Douro → Foz do Douro (cửa biển)</t>
  </si>
  <si>
    <t>~5 km một chiều; khứ hồi ~10 km</t>
  </si>
  <si>
    <t>Phẳng; về bằng tàu điện cổ số 1 nếu mệt.</t>
  </si>
  <si>
    <t>Thời tiết đầu tháng 11 và danh sách hành lý</t>
  </si>
  <si>
    <t>Nhiệt độ, lượng mưa là số trung bình nhiều năm; xem dự báo thật 3 ngày trước khi đi. Giờ mặt trời mọc / lặn là giờ địa phương.</t>
  </si>
  <si>
    <t>1. Thời tiết từng nơi</t>
  </si>
  <si>
    <t>Ngày ở</t>
  </si>
  <si>
    <t>Nhiệt độ</t>
  </si>
  <si>
    <t>Mưa</t>
  </si>
  <si>
    <t>Mọc / lặn</t>
  </si>
  <si>
    <t>Mặc gì, mang gì</t>
  </si>
  <si>
    <t>01–02/11</t>
  </si>
  <si>
    <t>Cao ~12°C / thấp ~6°C</t>
  </si>
  <si>
    <t>Hay mưa phùn</t>
  </si>
  <si>
    <t>07:37 / 17:30</t>
  </si>
  <si>
    <t>Áo khoác giữ nhiệt chống nước, khăn quàng</t>
  </si>
  <si>
    <t>02–04/11</t>
  </si>
  <si>
    <t>Cao ~18°C / thấp ~11°C</t>
  </si>
  <si>
    <t>Ít mưa</t>
  </si>
  <si>
    <t>07:25 / 17:43</t>
  </si>
  <si>
    <t>Áo mỏng nhiều lớp, áo khoác nhẹ</t>
  </si>
  <si>
    <t>04–06/11</t>
  </si>
  <si>
    <t>Cao ~15°C / thấp ~6°C</t>
  </si>
  <si>
    <t>Khô, sáng và tối lạnh</t>
  </si>
  <si>
    <t>07:49 / 18:06</t>
  </si>
  <si>
    <t>Áo khoác ấm cho buổi tối, kem dưỡng da</t>
  </si>
  <si>
    <t>Cao ~17°C / thấp ~8°C</t>
  </si>
  <si>
    <t>07:59 / 18:18</t>
  </si>
  <si>
    <t>Như Madrid; giày đế chống trơn</t>
  </si>
  <si>
    <t>07–09/11</t>
  </si>
  <si>
    <t>Cao ~18°C / thấp ~12°C</t>
  </si>
  <si>
    <t>Mưa rào kèm gió</t>
  </si>
  <si>
    <t>07:11 / 17:28</t>
  </si>
  <si>
    <t>Áo khoác chống nước có mũ (ô dễ lật khi gió to)</t>
  </si>
  <si>
    <t>Sintra, Cabo da Roca</t>
  </si>
  <si>
    <t>Lạnh hơn Lisbon vài độ</t>
  </si>
  <si>
    <t>Sương mù, gió mạnh</t>
  </si>
  <si>
    <t>07:12 / 17:30</t>
  </si>
  <si>
    <t>Thêm 1 lớp áo ấm; mũ có dây</t>
  </si>
  <si>
    <t>09–11/11</t>
  </si>
  <si>
    <t>Cao ~16°C / thấp ~9°C</t>
  </si>
  <si>
    <t>Một trong những tháng mưa nhiều nhất năm</t>
  </si>
  <si>
    <t>07:16 / 17:19</t>
  </si>
  <si>
    <t>Áo chống nước, giày không ngấm nước</t>
  </si>
  <si>
    <t>2. Danh sách hành lý (mỗi người)</t>
  </si>
  <si>
    <t>Vật dụng</t>
  </si>
  <si>
    <t>Đã chuẩn bị?</t>
  </si>
  <si>
    <t>Giấy tờ</t>
  </si>
  <si>
    <t>Hộ chiếu còn hạn tới ít nhất 12/02/2027, có visa</t>
  </si>
  <si>
    <t>Bản photo hộ chiếu và visa để riêng; bản scan trong Google Drive chung</t>
  </si>
  <si>
    <t>Bảo hiểm du lịch (bản in + số hotline)</t>
  </si>
  <si>
    <t>Vé máy bay, vé tàu, booking KS, vé tham quan (bản in + PDF lưu offline)</t>
  </si>
  <si>
    <t>Email xác nhận đăng ký BCC, TECNOSEC; thư mời (nếu có)</t>
  </si>
  <si>
    <t>Danh thiếp 100+ tờ, company profile tiếng Anh</t>
  </si>
  <si>
    <t>2 ảnh thẻ dự phòng</t>
  </si>
  <si>
    <t>Tiền</t>
  </si>
  <si>
    <t>2 thẻ Visa/Master để ở 2 nơi; €200–300 tiền mặt</t>
  </si>
  <si>
    <t>Điện tử</t>
  </si>
  <si>
    <t>Điện thoại đã cài eSIM và các app (Việc cần làm mục 12)</t>
  </si>
  <si>
    <t>Sạc dự phòng (để hành lý xách tay, không ký gửi)</t>
  </si>
  <si>
    <t>Đầu chuyển ổ cắm Type C/F, cáp sạc</t>
  </si>
  <si>
    <t>Chân máy mini + remote Bluetooth chụp ảnh nhóm</t>
  </si>
  <si>
    <t>Quần áo</t>
  </si>
  <si>
    <t>Áo khoác chống nước có mũ</t>
  </si>
  <si>
    <t>2–3 áo giữ nhiệt mỏng, 1 áo len hoặc hoodie, khăn quàng</t>
  </si>
  <si>
    <t>Trang phục công sở cho 2 ngày triển lãm</t>
  </si>
  <si>
    <t>Giày đi bộ đế chống trơn, đã đi quen</t>
  </si>
  <si>
    <t>Đồ chạy bộ + giày chạy, áo phản quang</t>
  </si>
  <si>
    <t>Dép đi trong phòng (nhiều KS không có)</t>
  </si>
  <si>
    <t>Cá nhân</t>
  </si>
  <si>
    <t>Thuốc cá nhân (kèm đơn nếu là thuốc kê đơn); thuốc chống say xe (đường lên Pena quanh co)</t>
  </si>
  <si>
    <t>Kem dưỡng da, son dưỡng (Madrid khô); kính râm</t>
  </si>
  <si>
    <t>Ô gấp nhỏ, bình nước gấp</t>
  </si>
  <si>
    <t>Túi zip đựng chất lỏng ≤ 100 ml cho hành lý xách tay</t>
  </si>
  <si>
    <t>Mang về</t>
  </si>
  <si>
    <t>Túi gấp đựng quà; rượu mua về phải để hành lý ký gửi, bọc chống vỡ</t>
  </si>
  <si>
    <t>Nguồn đã kiểm tra (09/10/2026)</t>
  </si>
  <si>
    <t>Giá vé, giờ mở cửa có thể thay đổi; kiểm tra lại trên web chính thức lúc đặt.</t>
  </si>
  <si>
    <t>Link</t>
  </si>
  <si>
    <t>Visa Schengen của TBN tại VN (nơi nộp, thời hạn nộp, thời gian xét)</t>
  </si>
  <si>
    <t>https://www.exteriores.gob.es/Embajadas/hanoi/vi/ServiciosConsulares/Paginas/Consular/SCHENGEN-VISAS-(ENGLISH).aspx</t>
  </si>
  <si>
    <t>BLS Spain Visa Vietnam</t>
  </si>
  <si>
    <t>https://vietnam.blsspainvisa.com/</t>
  </si>
  <si>
    <t>EES vận hành đầy đủ từ 10/4/2026</t>
  </si>
  <si>
    <t>https://blog.wego.com/spain-ees-status/</t>
  </si>
  <si>
    <t>Barcelona Cybersecurity Congress 2026 (3–5/11, Fira Gran Via)</t>
  </si>
  <si>
    <t>https://bcc.bnetwork.com/Home/AboutTheEvent</t>
  </si>
  <si>
    <t>TECNOSEC 2026 (5–6/11, Madrid Arena)</t>
  </si>
  <si>
    <t>https://www.tecnosec.es/</t>
  </si>
  <si>
    <t>Giá vé Louvre khách ngoài EU €32 từ 14/1/2026</t>
  </si>
  <si>
    <t>https://www.thelocal.fr/20251128/non-eu-visitors-will-pay-e10-extra-to-visit-pariss-louvre</t>
  </si>
  <si>
    <t>Sagrada Família: tháp trung tâm đạt 172,5 m ngày 20/2/2026</t>
  </si>
  <si>
    <t>https://www.americamagazine.org/news/2026/02/20/barcelonas-sagrada-familia-reaches-maximum-height/</t>
  </si>
  <si>
    <t>Sagrada Família: giá vé 2026, tháp Chúa Giêsu chưa mở cho khách</t>
  </si>
  <si>
    <t>https://www.artvisitguide.com/sagrada-familia-2026-tower-jesus-tickets/</t>
  </si>
  <si>
    <t>Sagrada Família: giờ mở cửa tháng 11</t>
  </si>
  <si>
    <t>https://tickets-sagradafamilia.co/sagrada-familia-opening-hours/</t>
  </si>
  <si>
    <t>Pena, Sintra: giá vé, cách đi, hạn chế xe</t>
  </si>
  <si>
    <t>https://www.theemptynestexplorers.com/blog/visiting-sintra-and-pena-palace</t>
  </si>
  <si>
    <t>Lái xe TBN → BĐN: phí qua biên giới, thu phí điện tử</t>
  </si>
  <si>
    <t>https://www.thelocal.es/20260814/everything-you-need-to-know-about-driving-from-spain-to-portugal</t>
  </si>
  <si>
    <t>Ngày nghỉ lễ TBN 2026 (Madrid, Extremadura nghỉ bù 2/11)</t>
  </si>
  <si>
    <t>https://www.euribor.com.es/2025/10/28/calendario-laboral-2026/</t>
  </si>
  <si>
    <t>Đại sứ quán Việt Nam tại Bồ Đào Nha</t>
  </si>
  <si>
    <t>https://baoquocte.vn/chieu-dai-ky-niem-81-nam-quoc-khanh-viet-nam-tai-bo-dao-nha-443681.html</t>
  </si>
  <si>
    <t>Giờ mặt trời mọc, lặn: tính theo tọa độ từng thành phố (thư viện astral)</t>
  </si>
  <si>
    <t>Nhiệt độ, lượng mưa: số trung bình nhiều năm, chỉ để tham khảo; xem dự báo 3 ngày trước khi đi</t>
  </si>
  <si>
    <t>Đồ ăn</t>
  </si>
  <si>
    <t>Tương ớt chinsu (2 chai), DHFooods chai sốt tiêu xanh (2 chai), Mỳ tôm hộp (1 vài hộp)</t>
  </si>
  <si>
    <t>Mua eSIM cho cả đoàn và kích hoạt eSIM (làm rõ số lượng và loại eSIM sẽ mua)</t>
  </si>
  <si>
    <t>Checkin online trước mỗi chuyến bay</t>
  </si>
  <si>
    <t xml:space="preserve">Mua các đồ chung: chinsu + muối tiêu, mỳ tôm … </t>
  </si>
  <si>
    <t>Chuẩn bị trước</t>
  </si>
  <si>
    <t>Mua sắm quần áo đẹp + quần áo công tác đi lại</t>
  </si>
  <si>
    <t>Danh mục cần chuẩn bị =&gt; Đã nộp chị Hà. Cần chuẩn bị thêm các thành phần bên dưới (1.1 đến 1.8).</t>
  </si>
  <si>
    <r>
      <t xml:space="preserve">Google Maps (tải bản đồ offline từng thành phố), </t>
    </r>
    <r>
      <rPr>
        <b/>
        <sz val="11"/>
        <color rgb="FF000000"/>
        <rFont val="Calibri"/>
        <family val="2"/>
      </rPr>
      <t>Uber</t>
    </r>
    <r>
      <rPr>
        <sz val="11"/>
        <color rgb="FF000000"/>
        <rFont val="Calibri"/>
        <charset val="1"/>
      </rPr>
      <t xml:space="preserve">, </t>
    </r>
    <r>
      <rPr>
        <b/>
        <sz val="11"/>
        <color rgb="FF000000"/>
        <rFont val="Calibri"/>
        <family val="2"/>
      </rPr>
      <t>Bolt</t>
    </r>
    <r>
      <rPr>
        <sz val="11"/>
        <color rgb="FF000000"/>
        <rFont val="Calibri"/>
        <charset val="1"/>
      </rPr>
      <t xml:space="preserve"> (Lisbon, Porto), </t>
    </r>
    <r>
      <rPr>
        <b/>
        <sz val="11"/>
        <color rgb="FF000000"/>
        <rFont val="Calibri"/>
        <family val="2"/>
      </rPr>
      <t>Cabify</t>
    </r>
    <r>
      <rPr>
        <sz val="11"/>
        <color rgb="FF000000"/>
        <rFont val="Calibri"/>
        <charset val="1"/>
      </rPr>
      <t xml:space="preserve"> (Madrid, Barcelona), app Renfe/Iryo/Ouigo, app CP (tàu BĐN), TheFork (đặt bàn, hay có giảm giá), Google Translate (tải gói Pháp, TBN, Catalan, BĐN).</t>
    </r>
  </si>
  <si>
    <t>Mua sắm túi đeo chéo trước ngực để tránh mất tiền/ giấy tờ …</t>
  </si>
  <si>
    <t>Dành cả 1 ngày chỉ để đi mua những đồ này và KHÔNG TIẾC TIỀN</t>
  </si>
  <si>
    <t>Các túi tito để đựng đồ ướt</t>
  </si>
  <si>
    <t>Túi đeo chéo để giấy tờ, ví</t>
  </si>
  <si>
    <t>Báo Hoàng để sắp xe đón lên sân bay (đón Đ trước rồi đến aC)</t>
  </si>
  <si>
    <t>Tạm ứng tiền công ty =&gt; Gưi trước aC bao nhiêu</t>
  </si>
  <si>
    <t>Bóng đá</t>
  </si>
  <si>
    <t>Cácbosni bóng nổi tiếng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</si>
</sst>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4"/>
      <color rgb="FF1F3A5F"/>
      <name val="Calibri"/>
      <charset val="1"/>
    </font>
    <font>
      <i/>
      <sz val="10"/>
      <color rgb="FF595959"/>
      <name val="Calibri"/>
      <charset val="1"/>
    </font>
    <font>
      <b/>
      <sz val="11"/>
      <color rgb="FFC00000"/>
      <name val="Calibri"/>
      <charset val="1"/>
    </font>
    <font>
      <b/>
      <sz val="12"/>
      <color rgb="FFC00000"/>
      <name val="Calibri"/>
      <charset val="1"/>
    </font>
    <font>
      <b/>
      <sz val="11"/>
      <color rgb="FF000000"/>
      <name val="Calibri"/>
      <charset val="1"/>
    </font>
    <font>
      <b/>
      <sz val="12"/>
      <color rgb="FF000000"/>
      <name val="Calibri"/>
      <charset val="1"/>
    </font>
    <font>
      <b/>
      <sz val="11"/>
      <color rgb="FFFFFFFF"/>
      <name val="Calibri"/>
      <charset val="1"/>
    </font>
    <font>
      <sz val="11"/>
      <color rgb="FF000000"/>
      <name val="Calibri"/>
      <charset val="1"/>
    </font>
    <font>
      <b/>
      <sz val="12"/>
      <color rgb="FFFFFFFF"/>
      <name val="Calibri"/>
      <charset val="1"/>
    </font>
    <font>
      <i/>
      <sz val="11"/>
      <color rgb="FF404040"/>
      <name val="Calibri"/>
      <charset val="1"/>
    </font>
    <font>
      <b/>
      <sz val="11"/>
      <color rgb="FF006100"/>
      <name val="Calibri"/>
      <charset val="1"/>
    </font>
    <font>
      <i/>
      <sz val="11"/>
      <color rgb="FF1F4E79"/>
      <name val="Calibri"/>
      <charset val="1"/>
    </font>
    <font>
      <sz val="11"/>
      <color rgb="FF1F4E79"/>
      <name val="Calibri"/>
      <charset val="1"/>
    </font>
    <font>
      <u/>
      <sz val="11"/>
      <color rgb="FF0563C1"/>
      <name val="Calibri"/>
      <charset val="1"/>
    </font>
    <font>
      <b/>
      <sz val="11"/>
      <color rgb="FFFF0000"/>
      <name val="Calibri"/>
      <family val="2"/>
    </font>
    <font>
      <sz val="11"/>
      <color rgb="FFFF0000"/>
      <name val="Calibri"/>
      <family val="2"/>
    </font>
    <font>
      <b/>
      <sz val="11"/>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1F3A5F"/>
        <bgColor rgb="FF1F4E79"/>
      </patternFill>
    </fill>
    <fill>
      <patternFill patternType="solid">
        <fgColor rgb="FFDCE6F0"/>
        <bgColor rgb="FFE8EEF5"/>
      </patternFill>
    </fill>
    <fill>
      <patternFill patternType="solid">
        <fgColor rgb="FFE8EEF5"/>
        <bgColor rgb="FFDCE6F0"/>
      </patternFill>
    </fill>
    <fill>
      <patternFill patternType="solid">
        <fgColor rgb="FFFFF7E0"/>
        <bgColor rgb="FFFFFDF5"/>
      </patternFill>
    </fill>
    <fill>
      <patternFill patternType="solid">
        <fgColor rgb="FFFFFFFF"/>
        <bgColor rgb="FFFFFDF5"/>
      </patternFill>
    </fill>
    <fill>
      <patternFill patternType="solid">
        <fgColor rgb="FFF5F8FC"/>
        <bgColor rgb="FFFFFDF5"/>
      </patternFill>
    </fill>
    <fill>
      <patternFill patternType="solid">
        <fgColor rgb="FFFFFDF5"/>
        <bgColor rgb="FFFFFFFF"/>
      </patternFill>
    </fill>
  </fills>
  <borders count="2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medium">
        <color indexed="64"/>
      </left>
      <right style="thin">
        <color rgb="FFA6A6A6"/>
      </right>
      <top style="medium">
        <color indexed="64"/>
      </top>
      <bottom style="thin">
        <color rgb="FFA6A6A6"/>
      </bottom>
      <diagonal/>
    </border>
    <border>
      <left style="thin">
        <color rgb="FFA6A6A6"/>
      </left>
      <right style="thin">
        <color rgb="FFA6A6A6"/>
      </right>
      <top style="medium">
        <color indexed="64"/>
      </top>
      <bottom style="thin">
        <color rgb="FFA6A6A6"/>
      </bottom>
      <diagonal/>
    </border>
    <border>
      <left style="thin">
        <color rgb="FFA6A6A6"/>
      </left>
      <right style="medium">
        <color indexed="64"/>
      </right>
      <top style="medium">
        <color indexed="64"/>
      </top>
      <bottom style="thin">
        <color rgb="FFA6A6A6"/>
      </bottom>
      <diagonal/>
    </border>
    <border>
      <left style="medium">
        <color indexed="64"/>
      </left>
      <right style="thin">
        <color rgb="FFA6A6A6"/>
      </right>
      <top style="thin">
        <color rgb="FFA6A6A6"/>
      </top>
      <bottom style="thin">
        <color rgb="FFA6A6A6"/>
      </bottom>
      <diagonal/>
    </border>
    <border>
      <left style="thin">
        <color rgb="FFA6A6A6"/>
      </left>
      <right style="medium">
        <color indexed="64"/>
      </right>
      <top style="thin">
        <color rgb="FFA6A6A6"/>
      </top>
      <bottom style="thin">
        <color rgb="FFA6A6A6"/>
      </bottom>
      <diagonal/>
    </border>
    <border>
      <left style="medium">
        <color indexed="64"/>
      </left>
      <right style="thin">
        <color rgb="FFA6A6A6"/>
      </right>
      <top style="thin">
        <color rgb="FFA6A6A6"/>
      </top>
      <bottom style="medium">
        <color indexed="64"/>
      </bottom>
      <diagonal/>
    </border>
    <border>
      <left style="thin">
        <color rgb="FFA6A6A6"/>
      </left>
      <right style="thin">
        <color rgb="FFA6A6A6"/>
      </right>
      <top style="thin">
        <color rgb="FFA6A6A6"/>
      </top>
      <bottom style="medium">
        <color indexed="64"/>
      </bottom>
      <diagonal/>
    </border>
    <border>
      <left style="thin">
        <color rgb="FFA6A6A6"/>
      </left>
      <right style="medium">
        <color indexed="64"/>
      </right>
      <top style="thin">
        <color rgb="FFA6A6A6"/>
      </top>
      <bottom style="medium">
        <color indexed="64"/>
      </bottom>
      <diagonal/>
    </border>
    <border>
      <left style="thin">
        <color rgb="FFA6A6A6"/>
      </left>
      <right style="thin">
        <color rgb="FFA6A6A6"/>
      </right>
      <top/>
      <bottom/>
      <diagonal/>
    </border>
    <border>
      <left style="thin">
        <color indexed="64"/>
      </left>
      <right style="thin">
        <color indexed="64"/>
      </right>
      <top style="thin">
        <color indexed="64"/>
      </top>
      <bottom style="thin">
        <color indexed="64"/>
      </bottom>
      <diagonal/>
    </border>
    <border>
      <left style="medium">
        <color indexed="64"/>
      </left>
      <right style="thin">
        <color rgb="FFA6A6A6"/>
      </right>
      <top style="thin">
        <color rgb="FFA6A6A6"/>
      </top>
      <bottom/>
      <diagonal/>
    </border>
    <border>
      <left style="thin">
        <color rgb="FFA6A6A6"/>
      </left>
      <right style="medium">
        <color indexed="64"/>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indexed="64"/>
      </left>
      <right style="thin">
        <color rgb="FFA6A6A6"/>
      </right>
      <top/>
      <bottom style="thin">
        <color rgb="FFA6A6A6"/>
      </bottom>
      <diagonal/>
    </border>
    <border>
      <left style="thin">
        <color rgb="FFA6A6A6"/>
      </left>
      <right style="medium">
        <color indexed="64"/>
      </right>
      <top/>
      <bottom style="thin">
        <color rgb="FFA6A6A6"/>
      </bottom>
      <diagonal/>
    </border>
  </borders>
  <cellStyleXfs count="1">
    <xf numFmtId="0" fontId="0" fillId="0" borderId="0"/>
  </cellStyleXfs>
  <cellXfs count="76">
    <xf numFmtId="0" fontId="0" fillId="0" borderId="0" xfId="0"/>
    <xf numFmtId="0" fontId="8" fillId="0" borderId="1" xfId="0" applyFont="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10" fillId="4" borderId="1" xfId="0" applyFont="1" applyFill="1" applyBorder="1" applyAlignment="1">
      <alignment vertical="top" wrapText="1"/>
    </xf>
    <xf numFmtId="0" fontId="9" fillId="2" borderId="1" xfId="0" applyFont="1" applyFill="1" applyBorder="1" applyAlignment="1">
      <alignment vertical="top" wrapText="1"/>
    </xf>
    <xf numFmtId="0" fontId="5" fillId="3" borderId="1" xfId="0" applyFont="1" applyFill="1" applyBorder="1" applyAlignment="1">
      <alignment vertical="top" wrapText="1"/>
    </xf>
    <xf numFmtId="0" fontId="3" fillId="0" borderId="0" xfId="0" applyFont="1"/>
    <xf numFmtId="0" fontId="2" fillId="0" borderId="0" xfId="0" applyFont="1" applyAlignment="1">
      <alignment vertical="top" wrapText="1"/>
    </xf>
    <xf numFmtId="0" fontId="1" fillId="0" borderId="0" xfId="0" applyFont="1"/>
    <xf numFmtId="0" fontId="5" fillId="0" borderId="0" xfId="0" applyFont="1"/>
    <xf numFmtId="0" fontId="6" fillId="0" borderId="0" xfId="0" applyFont="1" applyAlignment="1">
      <alignment horizontal="left"/>
    </xf>
    <xf numFmtId="0" fontId="7" fillId="2"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3" fillId="0" borderId="1" xfId="0" applyFont="1" applyBorder="1" applyAlignment="1">
      <alignment vertical="top" wrapText="1"/>
    </xf>
    <xf numFmtId="0" fontId="5" fillId="5" borderId="1" xfId="0" applyFont="1" applyFill="1" applyBorder="1" applyAlignment="1">
      <alignment vertical="top" wrapText="1"/>
    </xf>
    <xf numFmtId="0" fontId="8" fillId="5" borderId="1" xfId="0" applyFont="1" applyFill="1" applyBorder="1" applyAlignment="1">
      <alignment vertical="top" wrapText="1"/>
    </xf>
    <xf numFmtId="0" fontId="3" fillId="5" borderId="1" xfId="0" applyFont="1" applyFill="1" applyBorder="1" applyAlignment="1">
      <alignment vertical="top" wrapText="1"/>
    </xf>
    <xf numFmtId="0" fontId="11" fillId="0" borderId="0" xfId="0" applyFont="1"/>
    <xf numFmtId="0" fontId="5" fillId="6" borderId="1" xfId="0" applyFont="1" applyFill="1" applyBorder="1" applyAlignment="1">
      <alignment vertical="top" wrapText="1"/>
    </xf>
    <xf numFmtId="0" fontId="8" fillId="6" borderId="1" xfId="0" applyFont="1" applyFill="1" applyBorder="1" applyAlignment="1">
      <alignment horizontal="center" vertical="top" wrapText="1"/>
    </xf>
    <xf numFmtId="0" fontId="8" fillId="6" borderId="1" xfId="0" applyFont="1" applyFill="1" applyBorder="1" applyAlignment="1">
      <alignment vertical="top" wrapText="1"/>
    </xf>
    <xf numFmtId="0" fontId="12" fillId="6" borderId="1" xfId="0" applyFont="1" applyFill="1" applyBorder="1" applyAlignment="1">
      <alignment vertical="top" wrapText="1"/>
    </xf>
    <xf numFmtId="0" fontId="5" fillId="7" borderId="1" xfId="0" applyFont="1" applyFill="1" applyBorder="1" applyAlignment="1">
      <alignment vertical="top" wrapText="1"/>
    </xf>
    <xf numFmtId="0" fontId="8" fillId="7" borderId="1" xfId="0" applyFont="1" applyFill="1" applyBorder="1" applyAlignment="1">
      <alignment horizontal="center" vertical="top" wrapText="1"/>
    </xf>
    <xf numFmtId="0" fontId="8" fillId="7" borderId="1" xfId="0" applyFont="1" applyFill="1" applyBorder="1" applyAlignment="1">
      <alignment vertical="top" wrapText="1"/>
    </xf>
    <xf numFmtId="0" fontId="12" fillId="7" borderId="1" xfId="0" applyFont="1" applyFill="1" applyBorder="1" applyAlignment="1">
      <alignment vertical="top" wrapText="1"/>
    </xf>
    <xf numFmtId="0" fontId="8" fillId="5" borderId="1" xfId="0" applyFont="1" applyFill="1" applyBorder="1" applyAlignment="1">
      <alignment horizontal="center" vertical="top" wrapText="1"/>
    </xf>
    <xf numFmtId="0" fontId="12" fillId="5" borderId="1" xfId="0" applyFont="1" applyFill="1" applyBorder="1" applyAlignment="1">
      <alignment vertical="top" wrapText="1"/>
    </xf>
    <xf numFmtId="0" fontId="8" fillId="8" borderId="1" xfId="0" applyFont="1" applyFill="1" applyBorder="1" applyAlignment="1">
      <alignment vertical="top" wrapText="1"/>
    </xf>
    <xf numFmtId="0" fontId="5" fillId="8" borderId="1" xfId="0" applyFont="1" applyFill="1" applyBorder="1" applyAlignment="1">
      <alignment vertical="top" wrapText="1"/>
    </xf>
    <xf numFmtId="0" fontId="8" fillId="8" borderId="1" xfId="0" applyFont="1" applyFill="1" applyBorder="1" applyAlignment="1">
      <alignment horizontal="center" vertical="top" wrapText="1"/>
    </xf>
    <xf numFmtId="0" fontId="12" fillId="8" borderId="1" xfId="0" applyFont="1" applyFill="1" applyBorder="1" applyAlignment="1">
      <alignment vertical="top" wrapText="1"/>
    </xf>
    <xf numFmtId="0" fontId="13" fillId="7" borderId="1" xfId="0" applyFont="1" applyFill="1" applyBorder="1" applyAlignment="1">
      <alignment vertical="top" wrapText="1"/>
    </xf>
    <xf numFmtId="0" fontId="13" fillId="6" borderId="1" xfId="0" applyFont="1" applyFill="1" applyBorder="1" applyAlignment="1">
      <alignment vertical="top" wrapText="1"/>
    </xf>
    <xf numFmtId="0" fontId="5" fillId="0" borderId="0" xfId="0" applyFont="1" applyAlignment="1">
      <alignment horizontal="right"/>
    </xf>
    <xf numFmtId="0" fontId="5" fillId="0" borderId="0" xfId="0" applyFont="1" applyAlignment="1">
      <alignment horizontal="center"/>
    </xf>
    <xf numFmtId="0" fontId="14" fillId="0" borderId="1" xfId="0" applyFont="1" applyBorder="1" applyAlignment="1">
      <alignment vertical="top" wrapText="1"/>
    </xf>
    <xf numFmtId="0" fontId="5" fillId="0" borderId="3" xfId="0" applyFont="1" applyBorder="1" applyAlignment="1">
      <alignment vertical="top" wrapText="1"/>
    </xf>
    <xf numFmtId="0" fontId="8" fillId="0" borderId="4" xfId="0" applyFont="1" applyBorder="1" applyAlignment="1">
      <alignment vertical="top" wrapText="1"/>
    </xf>
    <xf numFmtId="0" fontId="0" fillId="0" borderId="5" xfId="0" applyBorder="1" applyAlignment="1">
      <alignment horizontal="center" vertical="top" wrapText="1"/>
    </xf>
    <xf numFmtId="0" fontId="5" fillId="0" borderId="6" xfId="0" applyFont="1" applyBorder="1" applyAlignment="1">
      <alignment vertical="top" wrapText="1"/>
    </xf>
    <xf numFmtId="0" fontId="0" fillId="0" borderId="7" xfId="0" applyBorder="1" applyAlignment="1">
      <alignment horizontal="center" vertical="top" wrapText="1"/>
    </xf>
    <xf numFmtId="0" fontId="5" fillId="0" borderId="8" xfId="0" applyFont="1" applyBorder="1" applyAlignment="1">
      <alignment vertical="top" wrapText="1"/>
    </xf>
    <xf numFmtId="0" fontId="8" fillId="0" borderId="9" xfId="0" applyFont="1" applyBorder="1" applyAlignment="1">
      <alignment vertical="top" wrapText="1"/>
    </xf>
    <xf numFmtId="0" fontId="0" fillId="0" borderId="10" xfId="0" applyBorder="1" applyAlignment="1">
      <alignment horizontal="center" vertical="top" wrapText="1"/>
    </xf>
    <xf numFmtId="0" fontId="7" fillId="2" borderId="2" xfId="0" applyFont="1" applyFill="1" applyBorder="1" applyAlignment="1">
      <alignment horizontal="center" vertical="top" wrapText="1"/>
    </xf>
    <xf numFmtId="0" fontId="7" fillId="2" borderId="2" xfId="0" applyFont="1" applyFill="1" applyBorder="1" applyAlignment="1">
      <alignment horizontal="center" vertical="top" wrapText="1"/>
    </xf>
    <xf numFmtId="0" fontId="5" fillId="0" borderId="11" xfId="0" applyFont="1" applyBorder="1" applyAlignment="1">
      <alignment vertical="top" wrapText="1"/>
    </xf>
    <xf numFmtId="0" fontId="8" fillId="0" borderId="11" xfId="0" applyFont="1" applyBorder="1" applyAlignment="1">
      <alignment vertical="top" wrapText="1"/>
    </xf>
    <xf numFmtId="0" fontId="0" fillId="0" borderId="11" xfId="0" applyBorder="1" applyAlignment="1">
      <alignment horizontal="center" vertical="top" wrapText="1"/>
    </xf>
    <xf numFmtId="0" fontId="0" fillId="0" borderId="0" xfId="0" applyAlignment="1">
      <alignment horizontal="center"/>
    </xf>
    <xf numFmtId="0" fontId="15" fillId="0" borderId="12" xfId="0" applyFont="1" applyFill="1" applyBorder="1" applyAlignment="1">
      <alignment vertical="top" wrapText="1"/>
    </xf>
    <xf numFmtId="0" fontId="15" fillId="0" borderId="12" xfId="0" applyFont="1" applyBorder="1" applyAlignment="1">
      <alignment horizontal="left"/>
    </xf>
    <xf numFmtId="0" fontId="0" fillId="0" borderId="12" xfId="0" applyBorder="1" applyAlignment="1">
      <alignment horizontal="center" vertical="top" wrapText="1"/>
    </xf>
    <xf numFmtId="0" fontId="0" fillId="0" borderId="12" xfId="0" applyBorder="1"/>
    <xf numFmtId="0" fontId="0" fillId="0" borderId="0" xfId="0" applyFill="1"/>
    <xf numFmtId="0" fontId="17" fillId="0" borderId="1" xfId="0" applyFont="1" applyFill="1" applyBorder="1" applyAlignment="1">
      <alignment horizontal="center" vertical="top" wrapText="1"/>
    </xf>
    <xf numFmtId="0" fontId="15" fillId="0" borderId="1" xfId="0" applyFont="1" applyFill="1" applyBorder="1" applyAlignment="1">
      <alignment horizontal="center" vertical="top" wrapText="1"/>
    </xf>
    <xf numFmtId="0" fontId="15" fillId="0" borderId="1" xfId="0" applyFont="1" applyFill="1" applyBorder="1" applyAlignment="1">
      <alignment horizontal="left" vertical="top" wrapText="1"/>
    </xf>
    <xf numFmtId="0" fontId="16" fillId="0" borderId="1" xfId="0" applyFont="1" applyFill="1" applyBorder="1" applyAlignment="1">
      <alignment horizontal="left" vertical="top" wrapText="1"/>
    </xf>
    <xf numFmtId="0" fontId="18" fillId="0" borderId="1" xfId="0" applyFont="1" applyBorder="1" applyAlignment="1">
      <alignment vertical="top" wrapText="1"/>
    </xf>
    <xf numFmtId="0" fontId="19" fillId="0" borderId="1" xfId="0" applyFont="1" applyBorder="1" applyAlignment="1">
      <alignment vertical="top" wrapText="1"/>
    </xf>
    <xf numFmtId="0" fontId="15" fillId="0" borderId="1" xfId="0" applyFont="1" applyBorder="1" applyAlignment="1">
      <alignment vertical="top" wrapText="1"/>
    </xf>
    <xf numFmtId="0" fontId="5" fillId="0" borderId="13" xfId="0" applyFont="1" applyBorder="1" applyAlignment="1">
      <alignment vertical="top" wrapText="1"/>
    </xf>
    <xf numFmtId="0" fontId="0" fillId="0" borderId="14" xfId="0" applyBorder="1" applyAlignment="1">
      <alignment horizontal="center" vertical="top" wrapText="1"/>
    </xf>
    <xf numFmtId="0" fontId="5" fillId="0" borderId="18" xfId="0" applyFont="1" applyBorder="1" applyAlignment="1">
      <alignment vertical="top" wrapText="1"/>
    </xf>
    <xf numFmtId="0" fontId="0" fillId="0" borderId="19" xfId="0" applyBorder="1" applyAlignment="1">
      <alignment horizontal="center" vertical="top" wrapText="1"/>
    </xf>
    <xf numFmtId="0" fontId="18" fillId="0" borderId="15"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4" fillId="0" borderId="0" xfId="0" applyFont="1" applyAlignment="1">
      <alignment horizontal="center"/>
    </xf>
    <xf numFmtId="0" fontId="19" fillId="5" borderId="11" xfId="0" applyFont="1" applyFill="1" applyBorder="1" applyAlignment="1">
      <alignment vertical="top" wrapText="1"/>
    </xf>
  </cellXfs>
  <cellStyles count="1">
    <cellStyle name="Normal" xfId="0" builtinId="0"/>
  </cellStyles>
  <dxfs count="7">
    <dxf>
      <fill>
        <patternFill>
          <bgColor rgb="FFE2EFDA"/>
        </patternFill>
      </fill>
    </dxf>
    <dxf>
      <fill>
        <patternFill>
          <bgColor rgb="FFE2EFDA"/>
        </patternFill>
      </fill>
    </dxf>
    <dxf>
      <font>
        <color rgb="FF006100"/>
        <name val="Calibri"/>
        <charset val="1"/>
      </font>
      <fill>
        <patternFill>
          <bgColor rgb="FFC6EFCE"/>
        </patternFill>
      </fill>
    </dxf>
    <dxf>
      <font>
        <color rgb="FF006100"/>
        <name val="Calibri"/>
        <charset val="1"/>
      </font>
      <fill>
        <patternFill>
          <bgColor rgb="FFC6EFCE"/>
        </patternFill>
      </fill>
    </dxf>
    <dxf>
      <fill>
        <patternFill>
          <bgColor rgb="FFFFEB9C"/>
        </patternFill>
      </fill>
    </dxf>
    <dxf>
      <font>
        <color rgb="FF006100"/>
        <name val="Calibri"/>
        <charset val="1"/>
      </font>
      <fill>
        <patternFill>
          <bgColor rgb="FFC6EFCE"/>
        </patternFill>
      </fill>
    </dxf>
    <dxf>
      <font>
        <b/>
        <color rgb="FF9C0006"/>
        <name val="Calibri"/>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F5F8FC"/>
      <rgbColor rgb="FF808080"/>
      <rgbColor rgb="FF9999FF"/>
      <rgbColor rgb="FF993366"/>
      <rgbColor rgb="FFFFF7E0"/>
      <rgbColor rgb="FFE8EEF5"/>
      <rgbColor rgb="FF660066"/>
      <rgbColor rgb="FFFF8080"/>
      <rgbColor rgb="FF0563C1"/>
      <rgbColor rgb="FFDCE6F0"/>
      <rgbColor rgb="FF000080"/>
      <rgbColor rgb="FFFF00FF"/>
      <rgbColor rgb="FFFFFF00"/>
      <rgbColor rgb="FF00FFFF"/>
      <rgbColor rgb="FF800080"/>
      <rgbColor rgb="FF800000"/>
      <rgbColor rgb="FF008080"/>
      <rgbColor rgb="FF0000FF"/>
      <rgbColor rgb="FF00CCFF"/>
      <rgbColor rgb="FFE2EFDA"/>
      <rgbColor rgb="FFC6EFCE"/>
      <rgbColor rgb="FFFFEB9C"/>
      <rgbColor rgb="FFFFFDF5"/>
      <rgbColor rgb="FFFF99CC"/>
      <rgbColor rgb="FFCC99FF"/>
      <rgbColor rgb="FFF8CBAD"/>
      <rgbColor rgb="FF3366FF"/>
      <rgbColor rgb="FF33CCCC"/>
      <rgbColor rgb="FF99CC00"/>
      <rgbColor rgb="FFFFCC00"/>
      <rgbColor rgb="FFFF9900"/>
      <rgbColor rgb="FFFF6600"/>
      <rgbColor rgb="FF595959"/>
      <rgbColor rgb="FFA6A6A6"/>
      <rgbColor rgb="FF1F3A5F"/>
      <rgbColor rgb="FF339966"/>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8" Type="http://schemas.openxmlformats.org/officeDocument/2006/relationships/hyperlink" Target="https://www.artvisitguide.com/sagrada-familia-2026-tower-jesus-tickets/" TargetMode="External"/><Relationship Id="rId13" Type="http://schemas.openxmlformats.org/officeDocument/2006/relationships/hyperlink" Target="https://baoquocte.vn/chieu-dai-ky-niem-81-nam-quoc-khanh-viet-nam-tai-bo-dao-nha-443681.html" TargetMode="External"/><Relationship Id="rId3" Type="http://schemas.openxmlformats.org/officeDocument/2006/relationships/hyperlink" Target="https://blog.wego.com/spain-ees-status/" TargetMode="External"/><Relationship Id="rId7" Type="http://schemas.openxmlformats.org/officeDocument/2006/relationships/hyperlink" Target="https://www.americamagazine.org/news/2026/02/20/barcelonas-sagrada-familia-reaches-maximum-height/" TargetMode="External"/><Relationship Id="rId12" Type="http://schemas.openxmlformats.org/officeDocument/2006/relationships/hyperlink" Target="https://www.euribor.com.es/2025/10/28/calendario-laboral-2026/" TargetMode="External"/><Relationship Id="rId2" Type="http://schemas.openxmlformats.org/officeDocument/2006/relationships/hyperlink" Target="https://vietnam.blsspainvisa.com/" TargetMode="External"/><Relationship Id="rId1" Type="http://schemas.openxmlformats.org/officeDocument/2006/relationships/hyperlink" Target="https://www.exteriores.gob.es/Embajadas/hanoi/vi/ServiciosConsulares/Paginas/Consular/SCHENGEN-VISAS-(ENGLISH).aspx" TargetMode="External"/><Relationship Id="rId6" Type="http://schemas.openxmlformats.org/officeDocument/2006/relationships/hyperlink" Target="https://www.thelocal.fr/20251128/non-eu-visitors-will-pay-e10-extra-to-visit-pariss-louvre" TargetMode="External"/><Relationship Id="rId11" Type="http://schemas.openxmlformats.org/officeDocument/2006/relationships/hyperlink" Target="https://www.thelocal.es/20260814/everything-you-need-to-know-about-driving-from-spain-to-portugal" TargetMode="External"/><Relationship Id="rId5" Type="http://schemas.openxmlformats.org/officeDocument/2006/relationships/hyperlink" Target="https://www.tecnosec.es/" TargetMode="External"/><Relationship Id="rId10" Type="http://schemas.openxmlformats.org/officeDocument/2006/relationships/hyperlink" Target="https://www.theemptynestexplorers.com/blog/visiting-sintra-and-pena-palace" TargetMode="External"/><Relationship Id="rId4" Type="http://schemas.openxmlformats.org/officeDocument/2006/relationships/hyperlink" Target="https://bcc.bnetwork.com/Home/AboutTheEvent" TargetMode="External"/><Relationship Id="rId9" Type="http://schemas.openxmlformats.org/officeDocument/2006/relationships/hyperlink" Target="https://tickets-sagradafamilia.co/sagrada-familia-opening-hou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8"/>
  <sheetViews>
    <sheetView zoomScale="90" zoomScaleNormal="90" workbookViewId="0">
      <pane xSplit="2" ySplit="5" topLeftCell="C40" activePane="bottomRight" state="frozen"/>
      <selection pane="topRight" activeCell="C1" sqref="C1"/>
      <selection pane="bottomLeft" activeCell="A6" sqref="A6"/>
      <selection pane="bottomRight" activeCell="C33" sqref="C33"/>
    </sheetView>
  </sheetViews>
  <sheetFormatPr defaultColWidth="8.7109375" defaultRowHeight="15" x14ac:dyDescent="0.25"/>
  <cols>
    <col min="1" max="1" width="6.5703125" customWidth="1"/>
    <col min="2" max="2" width="18" customWidth="1"/>
    <col min="3" max="3" width="62" customWidth="1"/>
    <col min="4" max="4" width="15" style="54" customWidth="1"/>
    <col min="5" max="5" width="18" style="54" customWidth="1"/>
    <col min="6" max="6" width="52" customWidth="1"/>
    <col min="7" max="7" width="11" customWidth="1"/>
    <col min="8" max="8" width="12" customWidth="1"/>
  </cols>
  <sheetData>
    <row r="1" spans="1:8" ht="21.75" customHeight="1" x14ac:dyDescent="0.3">
      <c r="A1" s="9" t="s">
        <v>0</v>
      </c>
      <c r="B1" s="9"/>
      <c r="C1" s="9"/>
      <c r="D1" s="9"/>
      <c r="E1" s="9"/>
      <c r="F1" s="9"/>
      <c r="G1" s="9"/>
      <c r="H1" s="9"/>
    </row>
    <row r="2" spans="1:8" ht="30" customHeight="1" x14ac:dyDescent="0.25">
      <c r="A2" s="8" t="s">
        <v>1</v>
      </c>
      <c r="B2" s="8"/>
      <c r="C2" s="8"/>
      <c r="D2" s="8"/>
      <c r="E2" s="8"/>
      <c r="F2" s="8"/>
      <c r="G2" s="8"/>
      <c r="H2" s="8"/>
    </row>
    <row r="3" spans="1:8" ht="19.5" customHeight="1" x14ac:dyDescent="0.25">
      <c r="A3" s="7" t="s">
        <v>2</v>
      </c>
      <c r="B3" s="7"/>
      <c r="C3" s="7"/>
      <c r="D3" s="74">
        <f>COUNTIFS(G13:G207,"1. Gấp",H13:H207,"&lt;&gt;Xong")</f>
        <v>12</v>
      </c>
      <c r="E3" s="39" t="s">
        <v>3</v>
      </c>
      <c r="F3" s="11">
        <f>COUNTIFS(A13:A207,"&lt;&gt;",H13:H207,"&lt;&gt;Xong",G13:G207,"&lt;&gt;")</f>
        <v>31</v>
      </c>
    </row>
    <row r="5" spans="1:8" ht="19.5" customHeight="1" x14ac:dyDescent="0.25">
      <c r="A5" s="12" t="s">
        <v>4</v>
      </c>
      <c r="B5" s="12" t="s">
        <v>5</v>
      </c>
      <c r="C5" s="12" t="s">
        <v>6</v>
      </c>
      <c r="D5" s="12" t="s">
        <v>7</v>
      </c>
      <c r="E5" s="12" t="s">
        <v>8</v>
      </c>
      <c r="F5" s="12" t="s">
        <v>9</v>
      </c>
      <c r="G5" s="12" t="s">
        <v>10</v>
      </c>
      <c r="H5" s="12" t="s">
        <v>11</v>
      </c>
    </row>
    <row r="6" spans="1:8" ht="30" x14ac:dyDescent="0.25">
      <c r="A6" s="60"/>
      <c r="B6" s="61" t="s">
        <v>1856</v>
      </c>
      <c r="C6" s="63" t="s">
        <v>1860</v>
      </c>
      <c r="D6" s="61"/>
      <c r="E6" s="61"/>
      <c r="F6" s="62" t="s">
        <v>1861</v>
      </c>
      <c r="G6" s="61"/>
      <c r="H6" s="61"/>
    </row>
    <row r="7" spans="1:8" x14ac:dyDescent="0.25">
      <c r="A7" s="60"/>
      <c r="B7" s="61" t="s">
        <v>1856</v>
      </c>
      <c r="C7" s="63" t="s">
        <v>1865</v>
      </c>
      <c r="D7" s="61"/>
      <c r="E7" s="61"/>
      <c r="F7" s="62"/>
      <c r="G7" s="61"/>
      <c r="H7" s="61"/>
    </row>
    <row r="8" spans="1:8" x14ac:dyDescent="0.25">
      <c r="A8" s="60"/>
      <c r="B8" s="61" t="s">
        <v>1856</v>
      </c>
      <c r="C8" s="63" t="s">
        <v>1864</v>
      </c>
      <c r="D8" s="61"/>
      <c r="E8" s="61"/>
      <c r="F8" s="62"/>
      <c r="G8" s="61"/>
      <c r="H8" s="61"/>
    </row>
    <row r="9" spans="1:8" s="59" customFormat="1" ht="30" x14ac:dyDescent="0.25">
      <c r="A9" s="60"/>
      <c r="B9" s="61" t="s">
        <v>1856</v>
      </c>
      <c r="C9" s="63" t="s">
        <v>1853</v>
      </c>
      <c r="D9" s="61"/>
      <c r="E9" s="61"/>
      <c r="F9" s="61"/>
      <c r="G9" s="61"/>
      <c r="H9" s="61"/>
    </row>
    <row r="10" spans="1:8" s="59" customFormat="1" ht="19.5" customHeight="1" x14ac:dyDescent="0.25">
      <c r="A10" s="60"/>
      <c r="B10" s="61" t="s">
        <v>1856</v>
      </c>
      <c r="C10" s="63" t="s">
        <v>1854</v>
      </c>
      <c r="D10" s="61"/>
      <c r="E10" s="61"/>
      <c r="F10" s="61"/>
      <c r="G10" s="61"/>
      <c r="H10" s="61"/>
    </row>
    <row r="11" spans="1:8" s="59" customFormat="1" ht="19.5" customHeight="1" x14ac:dyDescent="0.25">
      <c r="A11" s="60"/>
      <c r="B11" s="61" t="s">
        <v>1856</v>
      </c>
      <c r="C11" s="63" t="s">
        <v>1855</v>
      </c>
      <c r="D11" s="61"/>
      <c r="E11" s="61"/>
      <c r="F11" s="61"/>
      <c r="G11" s="61"/>
      <c r="H11" s="61"/>
    </row>
    <row r="12" spans="1:8" s="59" customFormat="1" ht="19.5" customHeight="1" x14ac:dyDescent="0.25">
      <c r="A12" s="60"/>
      <c r="B12" s="61" t="s">
        <v>1856</v>
      </c>
      <c r="C12" s="63" t="s">
        <v>1857</v>
      </c>
      <c r="D12" s="61"/>
      <c r="E12" s="61"/>
      <c r="F12" s="61"/>
      <c r="G12" s="61"/>
      <c r="H12" s="61"/>
    </row>
    <row r="13" spans="1:8" ht="18.75" customHeight="1" x14ac:dyDescent="0.25">
      <c r="A13" s="6" t="s">
        <v>12</v>
      </c>
      <c r="B13" s="6"/>
      <c r="C13" s="6"/>
      <c r="D13" s="6"/>
      <c r="E13" s="6"/>
      <c r="F13" s="6"/>
      <c r="G13" s="6"/>
      <c r="H13" s="6"/>
    </row>
    <row r="14" spans="1:8" ht="63" customHeight="1" x14ac:dyDescent="0.25">
      <c r="A14" s="13" t="s">
        <v>13</v>
      </c>
      <c r="B14" s="14" t="s">
        <v>14</v>
      </c>
      <c r="C14" s="64" t="s">
        <v>1858</v>
      </c>
      <c r="D14" s="16" t="s">
        <v>15</v>
      </c>
      <c r="E14" s="16" t="s">
        <v>16</v>
      </c>
      <c r="F14" s="15" t="s">
        <v>17</v>
      </c>
      <c r="G14" s="16" t="s">
        <v>18</v>
      </c>
      <c r="H14" s="16" t="s">
        <v>19</v>
      </c>
    </row>
    <row r="15" spans="1:8" ht="63" customHeight="1" x14ac:dyDescent="0.25">
      <c r="A15" s="13" t="s">
        <v>20</v>
      </c>
      <c r="B15" s="14" t="s">
        <v>21</v>
      </c>
      <c r="C15" s="15" t="s">
        <v>22</v>
      </c>
      <c r="D15" s="16" t="s">
        <v>15</v>
      </c>
      <c r="E15" s="16" t="s">
        <v>23</v>
      </c>
      <c r="F15" s="15" t="s">
        <v>24</v>
      </c>
      <c r="G15" s="16" t="s">
        <v>18</v>
      </c>
      <c r="H15" s="16" t="s">
        <v>19</v>
      </c>
    </row>
    <row r="16" spans="1:8" ht="33" customHeight="1" x14ac:dyDescent="0.25">
      <c r="A16" s="13" t="s">
        <v>25</v>
      </c>
      <c r="B16" s="14"/>
      <c r="C16" s="15" t="s">
        <v>26</v>
      </c>
      <c r="D16" s="16" t="s">
        <v>27</v>
      </c>
      <c r="E16" s="16" t="s">
        <v>28</v>
      </c>
      <c r="F16" s="15"/>
      <c r="G16" s="16" t="s">
        <v>18</v>
      </c>
      <c r="H16" s="16" t="s">
        <v>19</v>
      </c>
    </row>
    <row r="17" spans="1:8" ht="48" customHeight="1" x14ac:dyDescent="0.25">
      <c r="A17" s="13" t="s">
        <v>29</v>
      </c>
      <c r="B17" s="14"/>
      <c r="C17" s="15" t="s">
        <v>30</v>
      </c>
      <c r="D17" s="16" t="s">
        <v>27</v>
      </c>
      <c r="E17" s="16" t="s">
        <v>31</v>
      </c>
      <c r="F17" s="15"/>
      <c r="G17" s="16" t="s">
        <v>18</v>
      </c>
      <c r="H17" s="16" t="s">
        <v>19</v>
      </c>
    </row>
    <row r="18" spans="1:8" ht="63" customHeight="1" x14ac:dyDescent="0.25">
      <c r="A18" s="13" t="s">
        <v>32</v>
      </c>
      <c r="B18" s="14"/>
      <c r="C18" s="15" t="s">
        <v>33</v>
      </c>
      <c r="D18" s="16" t="s">
        <v>27</v>
      </c>
      <c r="E18" s="16" t="s">
        <v>31</v>
      </c>
      <c r="F18" s="15" t="s">
        <v>34</v>
      </c>
      <c r="G18" s="16" t="s">
        <v>18</v>
      </c>
      <c r="H18" s="16" t="s">
        <v>19</v>
      </c>
    </row>
    <row r="19" spans="1:8" ht="48" customHeight="1" x14ac:dyDescent="0.25">
      <c r="A19" s="13" t="s">
        <v>35</v>
      </c>
      <c r="B19" s="14"/>
      <c r="C19" s="15" t="s">
        <v>36</v>
      </c>
      <c r="D19" s="16" t="s">
        <v>37</v>
      </c>
      <c r="E19" s="16" t="s">
        <v>38</v>
      </c>
      <c r="F19" s="15" t="s">
        <v>39</v>
      </c>
      <c r="G19" s="16" t="s">
        <v>18</v>
      </c>
      <c r="H19" s="16" t="s">
        <v>19</v>
      </c>
    </row>
    <row r="20" spans="1:8" ht="33" customHeight="1" x14ac:dyDescent="0.25">
      <c r="A20" s="13" t="s">
        <v>40</v>
      </c>
      <c r="B20" s="14"/>
      <c r="C20" s="15" t="s">
        <v>41</v>
      </c>
      <c r="D20" s="16" t="s">
        <v>15</v>
      </c>
      <c r="E20" s="16" t="s">
        <v>31</v>
      </c>
      <c r="F20" s="15"/>
      <c r="G20" s="16" t="s">
        <v>18</v>
      </c>
      <c r="H20" s="16" t="s">
        <v>19</v>
      </c>
    </row>
    <row r="21" spans="1:8" ht="33" customHeight="1" x14ac:dyDescent="0.25">
      <c r="A21" s="13" t="s">
        <v>42</v>
      </c>
      <c r="B21" s="14"/>
      <c r="C21" s="15" t="s">
        <v>43</v>
      </c>
      <c r="D21" s="16" t="s">
        <v>44</v>
      </c>
      <c r="E21" s="16" t="s">
        <v>38</v>
      </c>
      <c r="F21" s="15"/>
      <c r="G21" s="16" t="s">
        <v>18</v>
      </c>
      <c r="H21" s="16" t="s">
        <v>19</v>
      </c>
    </row>
    <row r="22" spans="1:8" ht="18" customHeight="1" x14ac:dyDescent="0.25">
      <c r="A22" s="13" t="s">
        <v>45</v>
      </c>
      <c r="B22" s="14"/>
      <c r="C22" s="15" t="s">
        <v>46</v>
      </c>
      <c r="D22" s="16" t="s">
        <v>15</v>
      </c>
      <c r="E22" s="16" t="s">
        <v>47</v>
      </c>
      <c r="F22" s="15"/>
      <c r="G22" s="16" t="s">
        <v>18</v>
      </c>
      <c r="H22" s="16" t="s">
        <v>19</v>
      </c>
    </row>
    <row r="23" spans="1:8" ht="33" customHeight="1" x14ac:dyDescent="0.25">
      <c r="A23" s="13" t="s">
        <v>48</v>
      </c>
      <c r="B23" s="14"/>
      <c r="C23" s="15" t="s">
        <v>49</v>
      </c>
      <c r="D23" s="16" t="s">
        <v>27</v>
      </c>
      <c r="E23" s="16" t="s">
        <v>50</v>
      </c>
      <c r="F23" s="15"/>
      <c r="G23" s="16" t="s">
        <v>51</v>
      </c>
      <c r="H23" s="16" t="s">
        <v>19</v>
      </c>
    </row>
    <row r="24" spans="1:8" ht="48" customHeight="1" x14ac:dyDescent="0.25">
      <c r="A24" s="13" t="s">
        <v>52</v>
      </c>
      <c r="B24" s="14" t="s">
        <v>53</v>
      </c>
      <c r="C24" s="15" t="s">
        <v>54</v>
      </c>
      <c r="D24" s="16" t="s">
        <v>55</v>
      </c>
      <c r="E24" s="16" t="s">
        <v>38</v>
      </c>
      <c r="F24" s="15" t="s">
        <v>56</v>
      </c>
      <c r="G24" s="16" t="s">
        <v>18</v>
      </c>
      <c r="H24" s="16" t="s">
        <v>19</v>
      </c>
    </row>
    <row r="25" spans="1:8" ht="48" customHeight="1" x14ac:dyDescent="0.25">
      <c r="A25" s="13" t="s">
        <v>57</v>
      </c>
      <c r="B25" s="14" t="s">
        <v>58</v>
      </c>
      <c r="C25" s="15" t="s">
        <v>59</v>
      </c>
      <c r="D25" s="16" t="s">
        <v>55</v>
      </c>
      <c r="E25" s="16" t="s">
        <v>38</v>
      </c>
      <c r="F25" s="15"/>
      <c r="G25" s="16" t="s">
        <v>18</v>
      </c>
      <c r="H25" s="16" t="s">
        <v>19</v>
      </c>
    </row>
    <row r="26" spans="1:8" ht="18.75" customHeight="1" x14ac:dyDescent="0.25">
      <c r="A26" s="6" t="s">
        <v>60</v>
      </c>
      <c r="B26" s="6"/>
      <c r="C26" s="6"/>
      <c r="D26" s="6"/>
      <c r="E26" s="6"/>
      <c r="F26" s="6"/>
      <c r="G26" s="6"/>
      <c r="H26" s="6"/>
    </row>
    <row r="27" spans="1:8" ht="153" customHeight="1" x14ac:dyDescent="0.25">
      <c r="A27" s="13" t="s">
        <v>61</v>
      </c>
      <c r="B27" s="14" t="s">
        <v>62</v>
      </c>
      <c r="C27" s="15" t="s">
        <v>63</v>
      </c>
      <c r="D27" s="16" t="s">
        <v>44</v>
      </c>
      <c r="E27" s="16" t="s">
        <v>64</v>
      </c>
      <c r="F27" s="15" t="s">
        <v>65</v>
      </c>
      <c r="G27" s="16" t="s">
        <v>51</v>
      </c>
      <c r="H27" s="16" t="s">
        <v>19</v>
      </c>
    </row>
    <row r="28" spans="1:8" ht="138" customHeight="1" x14ac:dyDescent="0.25">
      <c r="A28" s="13" t="s">
        <v>66</v>
      </c>
      <c r="B28" s="14" t="s">
        <v>67</v>
      </c>
      <c r="C28" s="15" t="s">
        <v>68</v>
      </c>
      <c r="D28" s="16" t="s">
        <v>69</v>
      </c>
      <c r="E28" s="16" t="s">
        <v>70</v>
      </c>
      <c r="F28" s="15" t="s">
        <v>71</v>
      </c>
      <c r="G28" s="16" t="s">
        <v>51</v>
      </c>
      <c r="H28" s="16" t="s">
        <v>19</v>
      </c>
    </row>
    <row r="29" spans="1:8" ht="198" customHeight="1" x14ac:dyDescent="0.25">
      <c r="A29" s="13" t="s">
        <v>72</v>
      </c>
      <c r="B29" s="14" t="s">
        <v>73</v>
      </c>
      <c r="C29" s="15" t="s">
        <v>74</v>
      </c>
      <c r="D29" s="16" t="s">
        <v>44</v>
      </c>
      <c r="E29" s="16" t="s">
        <v>75</v>
      </c>
      <c r="F29" s="15" t="s">
        <v>76</v>
      </c>
      <c r="G29" s="16" t="s">
        <v>18</v>
      </c>
      <c r="H29" s="16" t="s">
        <v>19</v>
      </c>
    </row>
    <row r="30" spans="1:8" ht="213" customHeight="1" x14ac:dyDescent="0.25">
      <c r="A30" s="13" t="s">
        <v>77</v>
      </c>
      <c r="B30" s="14" t="s">
        <v>78</v>
      </c>
      <c r="C30" s="15" t="s">
        <v>79</v>
      </c>
      <c r="D30" s="16" t="s">
        <v>44</v>
      </c>
      <c r="E30" s="16" t="s">
        <v>80</v>
      </c>
      <c r="F30" s="15" t="s">
        <v>81</v>
      </c>
      <c r="G30" s="16" t="s">
        <v>51</v>
      </c>
      <c r="H30" s="16" t="s">
        <v>19</v>
      </c>
    </row>
    <row r="31" spans="1:8" ht="78" customHeight="1" x14ac:dyDescent="0.25">
      <c r="A31" s="13" t="s">
        <v>82</v>
      </c>
      <c r="B31" s="14" t="s">
        <v>83</v>
      </c>
      <c r="C31" s="15" t="s">
        <v>84</v>
      </c>
      <c r="D31" s="16" t="s">
        <v>44</v>
      </c>
      <c r="E31" s="16" t="s">
        <v>85</v>
      </c>
      <c r="F31" s="15" t="s">
        <v>86</v>
      </c>
      <c r="G31" s="16" t="s">
        <v>51</v>
      </c>
      <c r="H31" s="16" t="s">
        <v>19</v>
      </c>
    </row>
    <row r="32" spans="1:8" ht="18.75" customHeight="1" x14ac:dyDescent="0.25">
      <c r="A32" s="6" t="s">
        <v>87</v>
      </c>
      <c r="B32" s="6"/>
      <c r="C32" s="6"/>
      <c r="D32" s="6"/>
      <c r="E32" s="6"/>
      <c r="F32" s="6"/>
      <c r="G32" s="6"/>
      <c r="H32" s="6"/>
    </row>
    <row r="33" spans="1:8" ht="48" customHeight="1" x14ac:dyDescent="0.25">
      <c r="A33" s="13" t="s">
        <v>88</v>
      </c>
      <c r="B33" s="14" t="s">
        <v>89</v>
      </c>
      <c r="C33" s="64" t="s">
        <v>90</v>
      </c>
      <c r="D33" s="16" t="s">
        <v>91</v>
      </c>
      <c r="E33" s="16" t="s">
        <v>92</v>
      </c>
      <c r="F33" s="15"/>
      <c r="G33" s="16" t="s">
        <v>93</v>
      </c>
      <c r="H33" s="16" t="s">
        <v>19</v>
      </c>
    </row>
    <row r="34" spans="1:8" ht="138" customHeight="1" x14ac:dyDescent="0.25">
      <c r="A34" s="13" t="s">
        <v>94</v>
      </c>
      <c r="B34" s="14" t="s">
        <v>95</v>
      </c>
      <c r="C34" s="15" t="s">
        <v>96</v>
      </c>
      <c r="D34" s="16" t="s">
        <v>97</v>
      </c>
      <c r="E34" s="16" t="s">
        <v>98</v>
      </c>
      <c r="F34" s="15"/>
      <c r="G34" s="16" t="s">
        <v>93</v>
      </c>
      <c r="H34" s="16" t="s">
        <v>19</v>
      </c>
    </row>
    <row r="35" spans="1:8" ht="63" customHeight="1" x14ac:dyDescent="0.25">
      <c r="A35" s="13" t="s">
        <v>99</v>
      </c>
      <c r="B35" s="14" t="s">
        <v>100</v>
      </c>
      <c r="C35" s="15" t="s">
        <v>101</v>
      </c>
      <c r="D35" s="16" t="s">
        <v>102</v>
      </c>
      <c r="E35" s="16" t="s">
        <v>98</v>
      </c>
      <c r="F35" s="15"/>
      <c r="G35" s="16" t="s">
        <v>93</v>
      </c>
      <c r="H35" s="16" t="s">
        <v>19</v>
      </c>
    </row>
    <row r="36" spans="1:8" ht="63" customHeight="1" x14ac:dyDescent="0.25">
      <c r="A36" s="13" t="s">
        <v>103</v>
      </c>
      <c r="B36" s="14" t="s">
        <v>104</v>
      </c>
      <c r="C36" s="64" t="s">
        <v>1859</v>
      </c>
      <c r="D36" s="16" t="s">
        <v>27</v>
      </c>
      <c r="E36" s="16" t="s">
        <v>98</v>
      </c>
      <c r="F36" s="15"/>
      <c r="G36" s="16" t="s">
        <v>93</v>
      </c>
      <c r="H36" s="16" t="s">
        <v>19</v>
      </c>
    </row>
    <row r="37" spans="1:8" ht="108" customHeight="1" x14ac:dyDescent="0.25">
      <c r="A37" s="13" t="s">
        <v>105</v>
      </c>
      <c r="B37" s="14" t="s">
        <v>106</v>
      </c>
      <c r="C37" s="65" t="s">
        <v>107</v>
      </c>
      <c r="D37" s="16" t="s">
        <v>91</v>
      </c>
      <c r="E37" s="16" t="s">
        <v>98</v>
      </c>
      <c r="F37" s="15"/>
      <c r="G37" s="16" t="s">
        <v>93</v>
      </c>
      <c r="H37" s="16" t="s">
        <v>19</v>
      </c>
    </row>
    <row r="38" spans="1:8" ht="78" customHeight="1" x14ac:dyDescent="0.25">
      <c r="A38" s="13" t="s">
        <v>108</v>
      </c>
      <c r="B38" s="14" t="s">
        <v>109</v>
      </c>
      <c r="C38" s="15" t="s">
        <v>110</v>
      </c>
      <c r="D38" s="16" t="s">
        <v>111</v>
      </c>
      <c r="E38" s="16" t="s">
        <v>112</v>
      </c>
      <c r="F38" s="15"/>
      <c r="G38" s="16" t="s">
        <v>51</v>
      </c>
      <c r="H38" s="16" t="s">
        <v>19</v>
      </c>
    </row>
    <row r="39" spans="1:8" ht="18.75" customHeight="1" x14ac:dyDescent="0.25">
      <c r="A39" s="6" t="s">
        <v>113</v>
      </c>
      <c r="B39" s="6"/>
      <c r="C39" s="6"/>
      <c r="D39" s="6"/>
      <c r="E39" s="6"/>
      <c r="F39" s="6"/>
      <c r="G39" s="6"/>
      <c r="H39" s="6"/>
    </row>
    <row r="40" spans="1:8" ht="93" customHeight="1" x14ac:dyDescent="0.25">
      <c r="A40" s="13" t="s">
        <v>114</v>
      </c>
      <c r="B40" s="14" t="s">
        <v>115</v>
      </c>
      <c r="C40" s="15" t="s">
        <v>116</v>
      </c>
      <c r="D40" s="16" t="s">
        <v>91</v>
      </c>
      <c r="E40" s="16" t="s">
        <v>117</v>
      </c>
      <c r="F40" s="15"/>
      <c r="G40" s="16" t="s">
        <v>93</v>
      </c>
      <c r="H40" s="16" t="s">
        <v>19</v>
      </c>
    </row>
    <row r="41" spans="1:8" ht="33" customHeight="1" x14ac:dyDescent="0.25">
      <c r="A41" s="13" t="s">
        <v>118</v>
      </c>
      <c r="B41" s="14" t="s">
        <v>119</v>
      </c>
      <c r="C41" s="15" t="s">
        <v>120</v>
      </c>
      <c r="D41" s="16" t="s">
        <v>121</v>
      </c>
      <c r="E41" s="16" t="s">
        <v>122</v>
      </c>
      <c r="F41" s="15"/>
      <c r="G41" s="16" t="s">
        <v>93</v>
      </c>
      <c r="H41" s="16" t="s">
        <v>19</v>
      </c>
    </row>
    <row r="42" spans="1:8" ht="48" customHeight="1" x14ac:dyDescent="0.25">
      <c r="A42" s="13" t="s">
        <v>123</v>
      </c>
      <c r="B42" s="14" t="s">
        <v>124</v>
      </c>
      <c r="C42" s="15" t="s">
        <v>125</v>
      </c>
      <c r="D42" s="16" t="s">
        <v>91</v>
      </c>
      <c r="E42" s="16" t="s">
        <v>126</v>
      </c>
      <c r="F42" s="15"/>
      <c r="G42" s="16" t="s">
        <v>93</v>
      </c>
      <c r="H42" s="16" t="s">
        <v>19</v>
      </c>
    </row>
    <row r="43" spans="1:8" ht="48" customHeight="1" x14ac:dyDescent="0.25">
      <c r="A43" s="13" t="s">
        <v>127</v>
      </c>
      <c r="B43" s="14" t="s">
        <v>124</v>
      </c>
      <c r="C43" s="15" t="s">
        <v>128</v>
      </c>
      <c r="D43" s="16" t="s">
        <v>91</v>
      </c>
      <c r="E43" s="16" t="s">
        <v>126</v>
      </c>
      <c r="F43" s="15"/>
      <c r="G43" s="16" t="s">
        <v>93</v>
      </c>
      <c r="H43" s="16" t="s">
        <v>19</v>
      </c>
    </row>
    <row r="44" spans="1:8" ht="48" customHeight="1" x14ac:dyDescent="0.25">
      <c r="A44" s="13" t="s">
        <v>129</v>
      </c>
      <c r="B44" s="14" t="s">
        <v>130</v>
      </c>
      <c r="C44" s="15" t="s">
        <v>131</v>
      </c>
      <c r="D44" s="16" t="s">
        <v>132</v>
      </c>
      <c r="E44" s="16" t="s">
        <v>133</v>
      </c>
      <c r="F44" s="15"/>
      <c r="G44" s="16" t="s">
        <v>93</v>
      </c>
      <c r="H44" s="16" t="s">
        <v>19</v>
      </c>
    </row>
    <row r="45" spans="1:8" ht="48" customHeight="1" x14ac:dyDescent="0.25">
      <c r="A45" s="13" t="s">
        <v>134</v>
      </c>
      <c r="B45" s="14" t="s">
        <v>135</v>
      </c>
      <c r="C45" s="15" t="s">
        <v>136</v>
      </c>
      <c r="D45" s="16" t="s">
        <v>91</v>
      </c>
      <c r="E45" s="16" t="s">
        <v>117</v>
      </c>
      <c r="F45" s="15"/>
      <c r="G45" s="16" t="s">
        <v>93</v>
      </c>
      <c r="H45" s="16" t="s">
        <v>19</v>
      </c>
    </row>
    <row r="46" spans="1:8" ht="33" customHeight="1" x14ac:dyDescent="0.25">
      <c r="A46" s="13" t="s">
        <v>137</v>
      </c>
      <c r="B46" s="14" t="s">
        <v>138</v>
      </c>
      <c r="C46" s="15" t="s">
        <v>139</v>
      </c>
      <c r="D46" s="16" t="s">
        <v>91</v>
      </c>
      <c r="E46" s="16" t="s">
        <v>117</v>
      </c>
      <c r="F46" s="15"/>
      <c r="G46" s="16" t="s">
        <v>93</v>
      </c>
      <c r="H46" s="16" t="s">
        <v>19</v>
      </c>
    </row>
    <row r="47" spans="1:8" ht="18.75" customHeight="1" x14ac:dyDescent="0.25">
      <c r="A47" s="6" t="s">
        <v>140</v>
      </c>
      <c r="B47" s="6"/>
      <c r="C47" s="6"/>
      <c r="D47" s="6"/>
      <c r="E47" s="6"/>
      <c r="F47" s="6"/>
      <c r="G47" s="6"/>
      <c r="H47" s="6"/>
    </row>
    <row r="48" spans="1:8" ht="33" customHeight="1" x14ac:dyDescent="0.25">
      <c r="A48" s="13" t="s">
        <v>141</v>
      </c>
      <c r="B48" s="14" t="s">
        <v>142</v>
      </c>
      <c r="C48" s="15" t="s">
        <v>143</v>
      </c>
      <c r="D48" s="16" t="s">
        <v>27</v>
      </c>
      <c r="E48" s="16" t="s">
        <v>122</v>
      </c>
      <c r="F48" s="15"/>
      <c r="G48" s="16" t="s">
        <v>93</v>
      </c>
      <c r="H48" s="16" t="s">
        <v>19</v>
      </c>
    </row>
  </sheetData>
  <mergeCells count="8">
    <mergeCell ref="A32:H32"/>
    <mergeCell ref="A39:H39"/>
    <mergeCell ref="A47:H47"/>
    <mergeCell ref="A1:H1"/>
    <mergeCell ref="A2:H2"/>
    <mergeCell ref="A3:C3"/>
    <mergeCell ref="A13:H13"/>
    <mergeCell ref="A26:H26"/>
  </mergeCells>
  <conditionalFormatting sqref="G13:G48">
    <cfRule type="expression" dxfId="6" priority="2">
      <formula>G13="1. Gấp"</formula>
    </cfRule>
  </conditionalFormatting>
  <conditionalFormatting sqref="H13:H48">
    <cfRule type="expression" dxfId="5" priority="3">
      <formula>H13="Xong"</formula>
    </cfRule>
    <cfRule type="expression" dxfId="4" priority="4">
      <formula>H13="Đang làm"</formula>
    </cfRule>
  </conditionalFormatting>
  <dataValidations count="2">
    <dataValidation type="list" allowBlank="1" sqref="H13:H48" xr:uid="{00000000-0002-0000-0000-000000000000}">
      <formula1>"Chưa làm,Đang làm,Xong"</formula1>
      <formula2>0</formula2>
    </dataValidation>
    <dataValidation type="list" allowBlank="1" sqref="G13:G48" xr:uid="{00000000-0002-0000-0000-000001000000}">
      <formula1>"1. Gấp,2. Cao,3. Thường"</formula1>
      <formula2>0</formula2>
    </dataValidation>
  </dataValidations>
  <pageMargins left="0.4" right="0.4" top="0.5" bottom="0.5" header="0.511811023622047" footer="0.511811023622047"/>
  <pageSetup paperSize="9"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21"/>
  <sheetViews>
    <sheetView zoomScale="90" zoomScaleNormal="90" workbookViewId="0">
      <pane xSplit="1" ySplit="4" topLeftCell="B5" activePane="bottomRight" state="frozen"/>
      <selection pane="topRight" activeCell="B1" sqref="B1"/>
      <selection pane="bottomLeft" activeCell="A5" sqref="A5"/>
      <selection pane="bottomRight" sqref="A1:E1"/>
    </sheetView>
  </sheetViews>
  <sheetFormatPr defaultColWidth="8.7109375" defaultRowHeight="15" x14ac:dyDescent="0.25"/>
  <cols>
    <col min="1" max="1" width="17" customWidth="1"/>
    <col min="2" max="2" width="52" customWidth="1"/>
    <col min="3" max="3" width="34" customWidth="1"/>
    <col min="4" max="4" width="20" customWidth="1"/>
    <col min="5" max="5" width="52" customWidth="1"/>
  </cols>
  <sheetData>
    <row r="1" spans="1:5" ht="21.75" customHeight="1" x14ac:dyDescent="0.3">
      <c r="A1" s="9" t="s">
        <v>144</v>
      </c>
      <c r="B1" s="9"/>
      <c r="C1" s="9"/>
      <c r="D1" s="9"/>
      <c r="E1" s="9"/>
    </row>
    <row r="2" spans="1:5" ht="15.75" customHeight="1" x14ac:dyDescent="0.25">
      <c r="A2" s="8" t="s">
        <v>145</v>
      </c>
      <c r="B2" s="8"/>
      <c r="C2" s="8"/>
      <c r="D2" s="8"/>
      <c r="E2" s="8"/>
    </row>
    <row r="4" spans="1:5" ht="19.5" customHeight="1" x14ac:dyDescent="0.25">
      <c r="A4" s="12" t="s">
        <v>146</v>
      </c>
      <c r="B4" s="12" t="s">
        <v>147</v>
      </c>
      <c r="C4" s="12" t="s">
        <v>148</v>
      </c>
      <c r="D4" s="12" t="s">
        <v>149</v>
      </c>
      <c r="E4" s="12" t="s">
        <v>9</v>
      </c>
    </row>
    <row r="5" spans="1:5" ht="18.75" customHeight="1" x14ac:dyDescent="0.25">
      <c r="A5" s="5" t="s">
        <v>150</v>
      </c>
      <c r="B5" s="5"/>
      <c r="C5" s="5"/>
      <c r="D5" s="5"/>
      <c r="E5" s="5"/>
    </row>
    <row r="6" spans="1:5" ht="18.75" customHeight="1" x14ac:dyDescent="0.25">
      <c r="A6" s="4" t="s">
        <v>151</v>
      </c>
      <c r="B6" s="4"/>
      <c r="C6" s="4"/>
      <c r="D6" s="4"/>
      <c r="E6" s="4"/>
    </row>
    <row r="7" spans="1:5" ht="33" customHeight="1" x14ac:dyDescent="0.25">
      <c r="A7" s="14" t="s">
        <v>152</v>
      </c>
      <c r="B7" s="15" t="s">
        <v>153</v>
      </c>
      <c r="C7" s="15" t="s">
        <v>154</v>
      </c>
      <c r="D7" s="15"/>
      <c r="E7" s="15" t="s">
        <v>155</v>
      </c>
    </row>
    <row r="8" spans="1:5" ht="33" customHeight="1" x14ac:dyDescent="0.25">
      <c r="A8" s="14" t="s">
        <v>156</v>
      </c>
      <c r="B8" s="15" t="s">
        <v>157</v>
      </c>
      <c r="C8" s="15"/>
      <c r="D8" s="15" t="s">
        <v>158</v>
      </c>
      <c r="E8" s="15" t="s">
        <v>159</v>
      </c>
    </row>
    <row r="9" spans="1:5" ht="18.75" customHeight="1" x14ac:dyDescent="0.25">
      <c r="A9" s="5" t="s">
        <v>160</v>
      </c>
      <c r="B9" s="5"/>
      <c r="C9" s="5"/>
      <c r="D9" s="5"/>
      <c r="E9" s="5"/>
    </row>
    <row r="10" spans="1:5" ht="18.75" customHeight="1" x14ac:dyDescent="0.25">
      <c r="A10" s="4" t="s">
        <v>161</v>
      </c>
      <c r="B10" s="4"/>
      <c r="C10" s="4"/>
      <c r="D10" s="4"/>
      <c r="E10" s="4"/>
    </row>
    <row r="11" spans="1:5" ht="33" customHeight="1" x14ac:dyDescent="0.25">
      <c r="A11" s="14" t="s">
        <v>162</v>
      </c>
      <c r="B11" s="15" t="s">
        <v>163</v>
      </c>
      <c r="C11" s="15" t="s">
        <v>164</v>
      </c>
      <c r="D11" s="15"/>
      <c r="E11" s="15" t="s">
        <v>165</v>
      </c>
    </row>
    <row r="12" spans="1:5" ht="18" customHeight="1" x14ac:dyDescent="0.25">
      <c r="A12" s="14" t="s">
        <v>166</v>
      </c>
      <c r="B12" s="15" t="s">
        <v>167</v>
      </c>
      <c r="C12" s="15" t="s">
        <v>168</v>
      </c>
      <c r="D12" s="15" t="s">
        <v>169</v>
      </c>
      <c r="E12" s="15" t="s">
        <v>170</v>
      </c>
    </row>
    <row r="13" spans="1:5" ht="18" customHeight="1" x14ac:dyDescent="0.25">
      <c r="A13" s="14" t="s">
        <v>171</v>
      </c>
      <c r="B13" s="15" t="s">
        <v>172</v>
      </c>
      <c r="C13" s="15" t="s">
        <v>173</v>
      </c>
      <c r="D13" s="15"/>
      <c r="E13" s="15" t="s">
        <v>174</v>
      </c>
    </row>
    <row r="14" spans="1:5" ht="18" customHeight="1" x14ac:dyDescent="0.25">
      <c r="A14" s="14" t="s">
        <v>175</v>
      </c>
      <c r="B14" s="15" t="s">
        <v>176</v>
      </c>
      <c r="C14" s="15"/>
      <c r="D14" s="15"/>
      <c r="E14" s="15" t="s">
        <v>177</v>
      </c>
    </row>
    <row r="15" spans="1:5" ht="33" customHeight="1" x14ac:dyDescent="0.25">
      <c r="A15" s="14" t="s">
        <v>178</v>
      </c>
      <c r="B15" s="15" t="s">
        <v>179</v>
      </c>
      <c r="C15" s="15" t="s">
        <v>180</v>
      </c>
      <c r="D15" s="15" t="s">
        <v>181</v>
      </c>
      <c r="E15" s="15" t="s">
        <v>182</v>
      </c>
    </row>
    <row r="16" spans="1:5" ht="18" customHeight="1" x14ac:dyDescent="0.25">
      <c r="A16" s="14" t="s">
        <v>183</v>
      </c>
      <c r="B16" s="15" t="s">
        <v>184</v>
      </c>
      <c r="C16" s="15" t="s">
        <v>185</v>
      </c>
      <c r="D16" s="17" t="s">
        <v>186</v>
      </c>
      <c r="E16" s="15" t="s">
        <v>187</v>
      </c>
    </row>
    <row r="17" spans="1:5" ht="18" customHeight="1" x14ac:dyDescent="0.25">
      <c r="A17" s="14" t="s">
        <v>188</v>
      </c>
      <c r="B17" s="15" t="s">
        <v>189</v>
      </c>
      <c r="C17" s="15" t="s">
        <v>190</v>
      </c>
      <c r="D17" s="15"/>
      <c r="E17" s="15" t="s">
        <v>191</v>
      </c>
    </row>
    <row r="18" spans="1:5" ht="33" customHeight="1" x14ac:dyDescent="0.25">
      <c r="A18" s="14" t="s">
        <v>192</v>
      </c>
      <c r="B18" s="15" t="s">
        <v>193</v>
      </c>
      <c r="C18" s="15" t="s">
        <v>194</v>
      </c>
      <c r="D18" s="15" t="s">
        <v>195</v>
      </c>
      <c r="E18" s="15" t="s">
        <v>196</v>
      </c>
    </row>
    <row r="19" spans="1:5" ht="18" customHeight="1" x14ac:dyDescent="0.25">
      <c r="A19" s="14" t="s">
        <v>197</v>
      </c>
      <c r="B19" s="15" t="s">
        <v>198</v>
      </c>
      <c r="C19" s="15"/>
      <c r="D19" s="15"/>
      <c r="E19" s="15" t="s">
        <v>199</v>
      </c>
    </row>
    <row r="20" spans="1:5" ht="33" customHeight="1" x14ac:dyDescent="0.25">
      <c r="A20" s="18" t="s">
        <v>200</v>
      </c>
      <c r="B20" s="19" t="s">
        <v>201</v>
      </c>
      <c r="C20" s="19" t="s">
        <v>202</v>
      </c>
      <c r="D20" s="20" t="s">
        <v>186</v>
      </c>
      <c r="E20" s="19" t="s">
        <v>203</v>
      </c>
    </row>
    <row r="21" spans="1:5" ht="18.75" customHeight="1" x14ac:dyDescent="0.25">
      <c r="A21" s="5" t="s">
        <v>204</v>
      </c>
      <c r="B21" s="5"/>
      <c r="C21" s="5"/>
      <c r="D21" s="5"/>
      <c r="E21" s="5"/>
    </row>
    <row r="22" spans="1:5" ht="18.75" customHeight="1" x14ac:dyDescent="0.25">
      <c r="A22" s="4" t="s">
        <v>205</v>
      </c>
      <c r="B22" s="4"/>
      <c r="C22" s="4"/>
      <c r="D22" s="4"/>
      <c r="E22" s="4"/>
    </row>
    <row r="23" spans="1:5" ht="18" customHeight="1" x14ac:dyDescent="0.25">
      <c r="A23" s="14" t="s">
        <v>206</v>
      </c>
      <c r="B23" s="15" t="s">
        <v>207</v>
      </c>
      <c r="C23" s="15"/>
      <c r="D23" s="15"/>
      <c r="E23" s="15"/>
    </row>
    <row r="24" spans="1:5" ht="33" customHeight="1" x14ac:dyDescent="0.25">
      <c r="A24" s="14" t="s">
        <v>166</v>
      </c>
      <c r="B24" s="15" t="s">
        <v>208</v>
      </c>
      <c r="C24" s="15"/>
      <c r="D24" s="15" t="s">
        <v>209</v>
      </c>
      <c r="E24" s="15" t="s">
        <v>210</v>
      </c>
    </row>
    <row r="25" spans="1:5" ht="18" customHeight="1" x14ac:dyDescent="0.25">
      <c r="A25" s="14" t="s">
        <v>211</v>
      </c>
      <c r="B25" s="15" t="s">
        <v>212</v>
      </c>
      <c r="C25" s="15"/>
      <c r="D25" s="15" t="s">
        <v>213</v>
      </c>
      <c r="E25" s="15" t="s">
        <v>214</v>
      </c>
    </row>
    <row r="26" spans="1:5" ht="18" customHeight="1" x14ac:dyDescent="0.25">
      <c r="A26" s="14" t="s">
        <v>215</v>
      </c>
      <c r="B26" s="15" t="s">
        <v>216</v>
      </c>
      <c r="C26" s="15" t="s">
        <v>217</v>
      </c>
      <c r="D26" s="15" t="s">
        <v>218</v>
      </c>
      <c r="E26" s="15"/>
    </row>
    <row r="27" spans="1:5" ht="33" customHeight="1" x14ac:dyDescent="0.25">
      <c r="A27" s="14" t="s">
        <v>219</v>
      </c>
      <c r="B27" s="15" t="s">
        <v>220</v>
      </c>
      <c r="C27" s="15" t="s">
        <v>221</v>
      </c>
      <c r="D27" s="15"/>
      <c r="E27" s="15" t="s">
        <v>222</v>
      </c>
    </row>
    <row r="28" spans="1:5" ht="18" customHeight="1" x14ac:dyDescent="0.25">
      <c r="A28" s="14" t="s">
        <v>223</v>
      </c>
      <c r="B28" s="15" t="s">
        <v>224</v>
      </c>
      <c r="C28" s="15" t="s">
        <v>225</v>
      </c>
      <c r="D28" s="15"/>
      <c r="E28" s="15"/>
    </row>
    <row r="29" spans="1:5" ht="18" customHeight="1" x14ac:dyDescent="0.25">
      <c r="A29" s="14" t="s">
        <v>226</v>
      </c>
      <c r="B29" s="15" t="s">
        <v>227</v>
      </c>
      <c r="C29" s="15"/>
      <c r="D29" s="15" t="s">
        <v>228</v>
      </c>
      <c r="E29" s="15" t="s">
        <v>229</v>
      </c>
    </row>
    <row r="30" spans="1:5" ht="18.75" customHeight="1" x14ac:dyDescent="0.25">
      <c r="A30" s="5" t="s">
        <v>230</v>
      </c>
      <c r="B30" s="5"/>
      <c r="C30" s="5"/>
      <c r="D30" s="5"/>
      <c r="E30" s="5"/>
    </row>
    <row r="31" spans="1:5" ht="18.75" customHeight="1" x14ac:dyDescent="0.25">
      <c r="A31" s="4" t="s">
        <v>231</v>
      </c>
      <c r="B31" s="4"/>
      <c r="C31" s="4"/>
      <c r="D31" s="4"/>
      <c r="E31" s="4"/>
    </row>
    <row r="32" spans="1:5" ht="18" customHeight="1" x14ac:dyDescent="0.25">
      <c r="A32" s="14" t="s">
        <v>206</v>
      </c>
      <c r="B32" s="15" t="s">
        <v>232</v>
      </c>
      <c r="C32" s="15" t="s">
        <v>233</v>
      </c>
      <c r="D32" s="15"/>
      <c r="E32" s="15" t="s">
        <v>234</v>
      </c>
    </row>
    <row r="33" spans="1:5" ht="33" customHeight="1" x14ac:dyDescent="0.25">
      <c r="A33" s="14" t="s">
        <v>235</v>
      </c>
      <c r="B33" s="15" t="s">
        <v>236</v>
      </c>
      <c r="C33" s="15" t="s">
        <v>237</v>
      </c>
      <c r="D33" s="15"/>
      <c r="E33" s="15"/>
    </row>
    <row r="34" spans="1:5" ht="33" customHeight="1" x14ac:dyDescent="0.25">
      <c r="A34" s="14" t="s">
        <v>238</v>
      </c>
      <c r="B34" s="15" t="s">
        <v>239</v>
      </c>
      <c r="C34" s="15" t="s">
        <v>240</v>
      </c>
      <c r="D34" s="17" t="s">
        <v>241</v>
      </c>
      <c r="E34" s="15" t="s">
        <v>242</v>
      </c>
    </row>
    <row r="35" spans="1:5" ht="33" customHeight="1" x14ac:dyDescent="0.25">
      <c r="A35" s="14" t="s">
        <v>243</v>
      </c>
      <c r="B35" s="15" t="s">
        <v>244</v>
      </c>
      <c r="C35" s="15" t="s">
        <v>245</v>
      </c>
      <c r="D35" s="17" t="s">
        <v>186</v>
      </c>
      <c r="E35" s="15" t="s">
        <v>246</v>
      </c>
    </row>
    <row r="36" spans="1:5" ht="18" customHeight="1" x14ac:dyDescent="0.25">
      <c r="A36" s="14" t="s">
        <v>247</v>
      </c>
      <c r="B36" s="15" t="s">
        <v>248</v>
      </c>
      <c r="C36" s="15"/>
      <c r="D36" s="15"/>
      <c r="E36" s="15"/>
    </row>
    <row r="37" spans="1:5" ht="18" customHeight="1" x14ac:dyDescent="0.25">
      <c r="A37" s="14" t="s">
        <v>249</v>
      </c>
      <c r="B37" s="15" t="s">
        <v>250</v>
      </c>
      <c r="C37" s="15" t="s">
        <v>251</v>
      </c>
      <c r="D37" s="15" t="s">
        <v>252</v>
      </c>
      <c r="E37" s="15" t="s">
        <v>253</v>
      </c>
    </row>
    <row r="38" spans="1:5" ht="18.75" customHeight="1" x14ac:dyDescent="0.25">
      <c r="A38" s="5" t="s">
        <v>254</v>
      </c>
      <c r="B38" s="5"/>
      <c r="C38" s="5"/>
      <c r="D38" s="5"/>
      <c r="E38" s="5"/>
    </row>
    <row r="39" spans="1:5" ht="18.75" customHeight="1" x14ac:dyDescent="0.25">
      <c r="A39" s="4" t="s">
        <v>255</v>
      </c>
      <c r="B39" s="4"/>
      <c r="C39" s="4"/>
      <c r="D39" s="4"/>
      <c r="E39" s="4"/>
    </row>
    <row r="40" spans="1:5" ht="18" customHeight="1" x14ac:dyDescent="0.25">
      <c r="A40" s="14" t="s">
        <v>256</v>
      </c>
      <c r="B40" s="15" t="s">
        <v>257</v>
      </c>
      <c r="C40" s="15"/>
      <c r="D40" s="15"/>
      <c r="E40" s="15"/>
    </row>
    <row r="41" spans="1:5" ht="33" customHeight="1" x14ac:dyDescent="0.25">
      <c r="A41" s="14" t="s">
        <v>258</v>
      </c>
      <c r="B41" s="15" t="s">
        <v>259</v>
      </c>
      <c r="C41" s="15" t="s">
        <v>260</v>
      </c>
      <c r="D41" s="17" t="s">
        <v>261</v>
      </c>
      <c r="E41" s="15" t="s">
        <v>262</v>
      </c>
    </row>
    <row r="42" spans="1:5" ht="18" customHeight="1" x14ac:dyDescent="0.25">
      <c r="A42" s="14" t="s">
        <v>263</v>
      </c>
      <c r="B42" s="15" t="s">
        <v>264</v>
      </c>
      <c r="C42" s="15"/>
      <c r="D42" s="15"/>
      <c r="E42" s="15"/>
    </row>
    <row r="43" spans="1:5" ht="18" customHeight="1" x14ac:dyDescent="0.25">
      <c r="A43" s="14" t="s">
        <v>265</v>
      </c>
      <c r="B43" s="15" t="s">
        <v>266</v>
      </c>
      <c r="C43" s="15"/>
      <c r="D43" s="15"/>
      <c r="E43" s="15" t="s">
        <v>267</v>
      </c>
    </row>
    <row r="44" spans="1:5" ht="18" customHeight="1" x14ac:dyDescent="0.25">
      <c r="A44" s="14" t="s">
        <v>268</v>
      </c>
      <c r="B44" s="15" t="s">
        <v>269</v>
      </c>
      <c r="C44" s="15" t="s">
        <v>270</v>
      </c>
      <c r="D44" s="15"/>
      <c r="E44" s="15"/>
    </row>
    <row r="45" spans="1:5" ht="18" customHeight="1" x14ac:dyDescent="0.25">
      <c r="A45" s="14" t="s">
        <v>271</v>
      </c>
      <c r="B45" s="15" t="s">
        <v>272</v>
      </c>
      <c r="C45" s="15" t="s">
        <v>273</v>
      </c>
      <c r="D45" s="17" t="s">
        <v>274</v>
      </c>
      <c r="E45" s="15" t="s">
        <v>275</v>
      </c>
    </row>
    <row r="46" spans="1:5" ht="33" customHeight="1" x14ac:dyDescent="0.25">
      <c r="A46" s="14" t="s">
        <v>192</v>
      </c>
      <c r="B46" s="15" t="s">
        <v>276</v>
      </c>
      <c r="C46" s="15" t="s">
        <v>277</v>
      </c>
      <c r="D46" s="15"/>
      <c r="E46" s="15"/>
    </row>
    <row r="47" spans="1:5" ht="33" customHeight="1" x14ac:dyDescent="0.25">
      <c r="A47" s="14" t="s">
        <v>197</v>
      </c>
      <c r="B47" s="15" t="s">
        <v>278</v>
      </c>
      <c r="C47" s="15"/>
      <c r="D47" s="15"/>
      <c r="E47" s="15" t="s">
        <v>279</v>
      </c>
    </row>
    <row r="48" spans="1:5" ht="18" customHeight="1" x14ac:dyDescent="0.25">
      <c r="A48" s="14" t="s">
        <v>280</v>
      </c>
      <c r="B48" s="15" t="s">
        <v>281</v>
      </c>
      <c r="C48" s="15"/>
      <c r="D48" s="15"/>
      <c r="E48" s="15"/>
    </row>
    <row r="49" spans="1:5" ht="18.75" customHeight="1" x14ac:dyDescent="0.25">
      <c r="A49" s="5" t="s">
        <v>282</v>
      </c>
      <c r="B49" s="5"/>
      <c r="C49" s="5"/>
      <c r="D49" s="5"/>
      <c r="E49" s="5"/>
    </row>
    <row r="50" spans="1:5" ht="18.75" customHeight="1" x14ac:dyDescent="0.25">
      <c r="A50" s="4" t="s">
        <v>283</v>
      </c>
      <c r="B50" s="4"/>
      <c r="C50" s="4"/>
      <c r="D50" s="4"/>
      <c r="E50" s="4"/>
    </row>
    <row r="51" spans="1:5" ht="33" customHeight="1" x14ac:dyDescent="0.25">
      <c r="A51" s="14" t="s">
        <v>284</v>
      </c>
      <c r="B51" s="15" t="s">
        <v>285</v>
      </c>
      <c r="C51" s="15" t="s">
        <v>286</v>
      </c>
      <c r="D51" s="15"/>
      <c r="E51" s="15"/>
    </row>
    <row r="52" spans="1:5" ht="18" customHeight="1" x14ac:dyDescent="0.25">
      <c r="A52" s="14" t="s">
        <v>287</v>
      </c>
      <c r="B52" s="15" t="s">
        <v>239</v>
      </c>
      <c r="C52" s="15" t="s">
        <v>288</v>
      </c>
      <c r="D52" s="17" t="s">
        <v>241</v>
      </c>
      <c r="E52" s="15"/>
    </row>
    <row r="53" spans="1:5" ht="18" customHeight="1" x14ac:dyDescent="0.25">
      <c r="A53" s="14" t="s">
        <v>268</v>
      </c>
      <c r="B53" s="15" t="s">
        <v>289</v>
      </c>
      <c r="C53" s="15"/>
      <c r="D53" s="15"/>
      <c r="E53" s="15" t="s">
        <v>290</v>
      </c>
    </row>
    <row r="54" spans="1:5" ht="33" customHeight="1" x14ac:dyDescent="0.25">
      <c r="A54" s="14" t="s">
        <v>291</v>
      </c>
      <c r="B54" s="15" t="s">
        <v>292</v>
      </c>
      <c r="C54" s="15"/>
      <c r="D54" s="15" t="s">
        <v>181</v>
      </c>
      <c r="E54" s="15" t="s">
        <v>293</v>
      </c>
    </row>
    <row r="55" spans="1:5" ht="18" customHeight="1" x14ac:dyDescent="0.25">
      <c r="A55" s="14" t="s">
        <v>247</v>
      </c>
      <c r="B55" s="15" t="s">
        <v>294</v>
      </c>
      <c r="C55" s="15"/>
      <c r="D55" s="15"/>
      <c r="E55" s="15"/>
    </row>
    <row r="56" spans="1:5" ht="33" customHeight="1" x14ac:dyDescent="0.25">
      <c r="A56" s="14" t="s">
        <v>295</v>
      </c>
      <c r="B56" s="15" t="s">
        <v>296</v>
      </c>
      <c r="C56" s="15"/>
      <c r="D56" s="15"/>
      <c r="E56" s="15"/>
    </row>
    <row r="57" spans="1:5" ht="18" customHeight="1" x14ac:dyDescent="0.25">
      <c r="A57" s="14" t="s">
        <v>297</v>
      </c>
      <c r="B57" s="15" t="s">
        <v>298</v>
      </c>
      <c r="C57" s="15"/>
      <c r="D57" s="15"/>
      <c r="E57" s="15"/>
    </row>
    <row r="58" spans="1:5" ht="33" customHeight="1" x14ac:dyDescent="0.25">
      <c r="A58" s="14" t="s">
        <v>280</v>
      </c>
      <c r="B58" s="15" t="s">
        <v>299</v>
      </c>
      <c r="C58" s="15"/>
      <c r="D58" s="15" t="s">
        <v>300</v>
      </c>
      <c r="E58" s="15"/>
    </row>
    <row r="59" spans="1:5" ht="18" customHeight="1" x14ac:dyDescent="0.25">
      <c r="A59" s="14" t="s">
        <v>301</v>
      </c>
      <c r="B59" s="15" t="s">
        <v>302</v>
      </c>
      <c r="C59" s="15"/>
      <c r="D59" s="15"/>
      <c r="E59" s="15" t="s">
        <v>303</v>
      </c>
    </row>
    <row r="60" spans="1:5" ht="18.75" customHeight="1" x14ac:dyDescent="0.25">
      <c r="A60" s="5" t="s">
        <v>304</v>
      </c>
      <c r="B60" s="5"/>
      <c r="C60" s="5"/>
      <c r="D60" s="5"/>
      <c r="E60" s="5"/>
    </row>
    <row r="61" spans="1:5" ht="18.75" customHeight="1" x14ac:dyDescent="0.25">
      <c r="A61" s="4" t="s">
        <v>305</v>
      </c>
      <c r="B61" s="4"/>
      <c r="C61" s="4"/>
      <c r="D61" s="4"/>
      <c r="E61" s="4"/>
    </row>
    <row r="62" spans="1:5" ht="18" customHeight="1" x14ac:dyDescent="0.25">
      <c r="A62" s="14" t="s">
        <v>206</v>
      </c>
      <c r="B62" s="15" t="s">
        <v>306</v>
      </c>
      <c r="C62" s="15"/>
      <c r="D62" s="15"/>
      <c r="E62" s="15"/>
    </row>
    <row r="63" spans="1:5" ht="18" customHeight="1" x14ac:dyDescent="0.25">
      <c r="A63" s="14" t="s">
        <v>166</v>
      </c>
      <c r="B63" s="15" t="s">
        <v>307</v>
      </c>
      <c r="C63" s="15" t="s">
        <v>308</v>
      </c>
      <c r="D63" s="15" t="s">
        <v>309</v>
      </c>
      <c r="E63" s="15" t="s">
        <v>310</v>
      </c>
    </row>
    <row r="64" spans="1:5" ht="33" customHeight="1" x14ac:dyDescent="0.25">
      <c r="A64" s="14" t="s">
        <v>311</v>
      </c>
      <c r="B64" s="15" t="s">
        <v>312</v>
      </c>
      <c r="C64" s="15"/>
      <c r="D64" s="15"/>
      <c r="E64" s="15" t="s">
        <v>313</v>
      </c>
    </row>
    <row r="65" spans="1:5" ht="18" customHeight="1" x14ac:dyDescent="0.25">
      <c r="A65" s="14" t="s">
        <v>215</v>
      </c>
      <c r="B65" s="15" t="s">
        <v>314</v>
      </c>
      <c r="C65" s="15"/>
      <c r="D65" s="15"/>
      <c r="E65" s="15"/>
    </row>
    <row r="66" spans="1:5" ht="18" customHeight="1" x14ac:dyDescent="0.25">
      <c r="A66" s="14" t="s">
        <v>315</v>
      </c>
      <c r="B66" s="15" t="s">
        <v>316</v>
      </c>
      <c r="C66" s="15"/>
      <c r="D66" s="15"/>
      <c r="E66" s="15"/>
    </row>
    <row r="67" spans="1:5" ht="48" customHeight="1" x14ac:dyDescent="0.25">
      <c r="A67" s="14" t="s">
        <v>317</v>
      </c>
      <c r="B67" s="15" t="s">
        <v>318</v>
      </c>
      <c r="C67" s="15" t="s">
        <v>221</v>
      </c>
      <c r="D67" s="15"/>
      <c r="E67" s="15" t="s">
        <v>319</v>
      </c>
    </row>
    <row r="68" spans="1:5" ht="18" customHeight="1" x14ac:dyDescent="0.25">
      <c r="A68" s="14" t="s">
        <v>320</v>
      </c>
      <c r="B68" s="15" t="s">
        <v>321</v>
      </c>
      <c r="C68" s="15"/>
      <c r="D68" s="15"/>
      <c r="E68" s="15"/>
    </row>
    <row r="69" spans="1:5" ht="18" customHeight="1" x14ac:dyDescent="0.25">
      <c r="A69" s="14" t="s">
        <v>280</v>
      </c>
      <c r="B69" s="15" t="s">
        <v>322</v>
      </c>
      <c r="C69" s="15"/>
      <c r="D69" s="15"/>
      <c r="E69" s="15"/>
    </row>
    <row r="70" spans="1:5" ht="18.75" customHeight="1" x14ac:dyDescent="0.25">
      <c r="A70" s="5" t="s">
        <v>323</v>
      </c>
      <c r="B70" s="5"/>
      <c r="C70" s="5"/>
      <c r="D70" s="5"/>
      <c r="E70" s="5"/>
    </row>
    <row r="71" spans="1:5" ht="18.75" customHeight="1" x14ac:dyDescent="0.25">
      <c r="A71" s="4" t="s">
        <v>324</v>
      </c>
      <c r="B71" s="4"/>
      <c r="C71" s="4"/>
      <c r="D71" s="4"/>
      <c r="E71" s="4"/>
    </row>
    <row r="72" spans="1:5" ht="18" customHeight="1" x14ac:dyDescent="0.25">
      <c r="A72" s="14" t="s">
        <v>206</v>
      </c>
      <c r="B72" s="15" t="s">
        <v>325</v>
      </c>
      <c r="C72" s="15"/>
      <c r="D72" s="15"/>
      <c r="E72" s="15"/>
    </row>
    <row r="73" spans="1:5" ht="18" customHeight="1" x14ac:dyDescent="0.25">
      <c r="A73" s="14" t="s">
        <v>326</v>
      </c>
      <c r="B73" s="15" t="s">
        <v>327</v>
      </c>
      <c r="C73" s="15"/>
      <c r="D73" s="15"/>
      <c r="E73" s="15"/>
    </row>
    <row r="74" spans="1:5" ht="33" customHeight="1" x14ac:dyDescent="0.25">
      <c r="A74" s="18" t="s">
        <v>328</v>
      </c>
      <c r="B74" s="19" t="s">
        <v>329</v>
      </c>
      <c r="C74" s="19" t="s">
        <v>330</v>
      </c>
      <c r="D74" s="19"/>
      <c r="E74" s="19"/>
    </row>
    <row r="75" spans="1:5" ht="18" customHeight="1" x14ac:dyDescent="0.25">
      <c r="A75" s="14" t="s">
        <v>331</v>
      </c>
      <c r="B75" s="15" t="s">
        <v>332</v>
      </c>
      <c r="C75" s="15"/>
      <c r="D75" s="15"/>
      <c r="E75" s="15"/>
    </row>
    <row r="76" spans="1:5" ht="18" customHeight="1" x14ac:dyDescent="0.25">
      <c r="A76" s="14" t="s">
        <v>333</v>
      </c>
      <c r="B76" s="15" t="s">
        <v>334</v>
      </c>
      <c r="C76" s="15"/>
      <c r="D76" s="15"/>
      <c r="E76" s="15"/>
    </row>
    <row r="77" spans="1:5" ht="48" customHeight="1" x14ac:dyDescent="0.25">
      <c r="A77" s="18" t="s">
        <v>335</v>
      </c>
      <c r="B77" s="19" t="s">
        <v>336</v>
      </c>
      <c r="C77" s="19" t="s">
        <v>337</v>
      </c>
      <c r="D77" s="19" t="s">
        <v>338</v>
      </c>
      <c r="E77" s="19" t="s">
        <v>339</v>
      </c>
    </row>
    <row r="78" spans="1:5" ht="18" customHeight="1" x14ac:dyDescent="0.25">
      <c r="A78" s="14" t="s">
        <v>219</v>
      </c>
      <c r="B78" s="15" t="s">
        <v>276</v>
      </c>
      <c r="C78" s="15" t="s">
        <v>340</v>
      </c>
      <c r="D78" s="15"/>
      <c r="E78" s="15"/>
    </row>
    <row r="79" spans="1:5" ht="33" customHeight="1" x14ac:dyDescent="0.25">
      <c r="A79" s="14" t="s">
        <v>341</v>
      </c>
      <c r="B79" s="15" t="s">
        <v>342</v>
      </c>
      <c r="C79" s="15"/>
      <c r="D79" s="15"/>
      <c r="E79" s="15"/>
    </row>
    <row r="80" spans="1:5" ht="33" customHeight="1" x14ac:dyDescent="0.25">
      <c r="A80" s="14" t="s">
        <v>343</v>
      </c>
      <c r="B80" s="15" t="s">
        <v>344</v>
      </c>
      <c r="C80" s="15"/>
      <c r="D80" s="15"/>
      <c r="E80" s="15"/>
    </row>
    <row r="81" spans="1:5" ht="18" customHeight="1" x14ac:dyDescent="0.25">
      <c r="A81" s="14" t="s">
        <v>197</v>
      </c>
      <c r="B81" s="15" t="s">
        <v>345</v>
      </c>
      <c r="C81" s="15"/>
      <c r="D81" s="17" t="s">
        <v>346</v>
      </c>
      <c r="E81" s="15" t="s">
        <v>347</v>
      </c>
    </row>
    <row r="82" spans="1:5" ht="18.75" customHeight="1" x14ac:dyDescent="0.25">
      <c r="A82" s="5" t="s">
        <v>348</v>
      </c>
      <c r="B82" s="5"/>
      <c r="C82" s="5"/>
      <c r="D82" s="5"/>
      <c r="E82" s="5"/>
    </row>
    <row r="83" spans="1:5" ht="18.75" customHeight="1" x14ac:dyDescent="0.25">
      <c r="A83" s="4" t="s">
        <v>349</v>
      </c>
      <c r="B83" s="4"/>
      <c r="C83" s="4"/>
      <c r="D83" s="4"/>
      <c r="E83" s="4"/>
    </row>
    <row r="84" spans="1:5" ht="18" customHeight="1" x14ac:dyDescent="0.25">
      <c r="A84" s="14" t="s">
        <v>256</v>
      </c>
      <c r="B84" s="15" t="s">
        <v>232</v>
      </c>
      <c r="C84" s="15"/>
      <c r="D84" s="15"/>
      <c r="E84" s="15"/>
    </row>
    <row r="85" spans="1:5" ht="33" customHeight="1" x14ac:dyDescent="0.25">
      <c r="A85" s="14" t="s">
        <v>350</v>
      </c>
      <c r="B85" s="15" t="s">
        <v>351</v>
      </c>
      <c r="C85" s="15" t="s">
        <v>352</v>
      </c>
      <c r="D85" s="15"/>
      <c r="E85" s="15" t="s">
        <v>353</v>
      </c>
    </row>
    <row r="86" spans="1:5" ht="33" customHeight="1" x14ac:dyDescent="0.25">
      <c r="A86" s="14" t="s">
        <v>354</v>
      </c>
      <c r="B86" s="15" t="s">
        <v>355</v>
      </c>
      <c r="C86" s="15"/>
      <c r="D86" s="17" t="s">
        <v>186</v>
      </c>
      <c r="E86" s="15" t="s">
        <v>356</v>
      </c>
    </row>
    <row r="87" spans="1:5" ht="33" customHeight="1" x14ac:dyDescent="0.25">
      <c r="A87" s="14" t="s">
        <v>265</v>
      </c>
      <c r="B87" s="15" t="s">
        <v>357</v>
      </c>
      <c r="C87" s="15"/>
      <c r="D87" s="15"/>
      <c r="E87" s="15"/>
    </row>
    <row r="88" spans="1:5" ht="18" customHeight="1" x14ac:dyDescent="0.25">
      <c r="A88" s="18" t="s">
        <v>358</v>
      </c>
      <c r="B88" s="19" t="s">
        <v>359</v>
      </c>
      <c r="C88" s="19"/>
      <c r="D88" s="19" t="s">
        <v>181</v>
      </c>
      <c r="E88" s="19"/>
    </row>
    <row r="89" spans="1:5" ht="18" customHeight="1" x14ac:dyDescent="0.25">
      <c r="A89" s="14" t="s">
        <v>360</v>
      </c>
      <c r="B89" s="15" t="s">
        <v>361</v>
      </c>
      <c r="C89" s="15"/>
      <c r="D89" s="15"/>
      <c r="E89" s="15"/>
    </row>
    <row r="90" spans="1:5" ht="33" customHeight="1" x14ac:dyDescent="0.25">
      <c r="A90" s="14" t="s">
        <v>362</v>
      </c>
      <c r="B90" s="15" t="s">
        <v>363</v>
      </c>
      <c r="C90" s="15"/>
      <c r="D90" s="15"/>
      <c r="E90" s="15" t="s">
        <v>364</v>
      </c>
    </row>
    <row r="91" spans="1:5" ht="18" customHeight="1" x14ac:dyDescent="0.25">
      <c r="A91" s="14" t="s">
        <v>365</v>
      </c>
      <c r="B91" s="15" t="s">
        <v>366</v>
      </c>
      <c r="C91" s="15"/>
      <c r="D91" s="15"/>
      <c r="E91" s="15"/>
    </row>
    <row r="92" spans="1:5" ht="18" customHeight="1" x14ac:dyDescent="0.25">
      <c r="A92" s="14" t="s">
        <v>197</v>
      </c>
      <c r="B92" s="15" t="s">
        <v>367</v>
      </c>
      <c r="C92" s="15"/>
      <c r="D92" s="15"/>
      <c r="E92" s="15"/>
    </row>
    <row r="93" spans="1:5" ht="18.75" customHeight="1" x14ac:dyDescent="0.25">
      <c r="A93" s="5" t="s">
        <v>368</v>
      </c>
      <c r="B93" s="5"/>
      <c r="C93" s="5"/>
      <c r="D93" s="5"/>
      <c r="E93" s="5"/>
    </row>
    <row r="94" spans="1:5" ht="18.75" customHeight="1" x14ac:dyDescent="0.25">
      <c r="A94" s="4" t="s">
        <v>369</v>
      </c>
      <c r="B94" s="4"/>
      <c r="C94" s="4"/>
      <c r="D94" s="4"/>
      <c r="E94" s="4"/>
    </row>
    <row r="95" spans="1:5" ht="18" customHeight="1" x14ac:dyDescent="0.25">
      <c r="A95" s="18" t="s">
        <v>370</v>
      </c>
      <c r="B95" s="19" t="s">
        <v>371</v>
      </c>
      <c r="C95" s="19" t="s">
        <v>372</v>
      </c>
      <c r="D95" s="19"/>
      <c r="E95" s="19"/>
    </row>
    <row r="96" spans="1:5" ht="33" customHeight="1" x14ac:dyDescent="0.25">
      <c r="A96" s="14" t="s">
        <v>166</v>
      </c>
      <c r="B96" s="15" t="s">
        <v>373</v>
      </c>
      <c r="C96" s="15"/>
      <c r="D96" s="15"/>
      <c r="E96" s="15" t="s">
        <v>374</v>
      </c>
    </row>
    <row r="97" spans="1:5" ht="18" customHeight="1" x14ac:dyDescent="0.25">
      <c r="A97" s="14" t="s">
        <v>375</v>
      </c>
      <c r="B97" s="15" t="s">
        <v>376</v>
      </c>
      <c r="C97" s="15" t="s">
        <v>377</v>
      </c>
      <c r="D97" s="15"/>
      <c r="E97" s="15"/>
    </row>
    <row r="98" spans="1:5" ht="18" customHeight="1" x14ac:dyDescent="0.25">
      <c r="A98" s="14" t="s">
        <v>378</v>
      </c>
      <c r="B98" s="15" t="s">
        <v>379</v>
      </c>
      <c r="C98" s="15"/>
      <c r="D98" s="17" t="s">
        <v>380</v>
      </c>
      <c r="E98" s="15"/>
    </row>
    <row r="99" spans="1:5" ht="33" customHeight="1" x14ac:dyDescent="0.25">
      <c r="A99" s="14" t="s">
        <v>381</v>
      </c>
      <c r="B99" s="15" t="s">
        <v>382</v>
      </c>
      <c r="C99" s="15" t="s">
        <v>383</v>
      </c>
      <c r="D99" s="15"/>
      <c r="E99" s="15"/>
    </row>
    <row r="100" spans="1:5" ht="33" customHeight="1" x14ac:dyDescent="0.25">
      <c r="A100" s="14" t="s">
        <v>219</v>
      </c>
      <c r="B100" s="15" t="s">
        <v>384</v>
      </c>
      <c r="C100" s="15"/>
      <c r="D100" s="15"/>
      <c r="E100" s="15"/>
    </row>
    <row r="101" spans="1:5" ht="33" customHeight="1" x14ac:dyDescent="0.25">
      <c r="A101" s="14" t="s">
        <v>385</v>
      </c>
      <c r="B101" s="15" t="s">
        <v>386</v>
      </c>
      <c r="C101" s="15"/>
      <c r="D101" s="15"/>
      <c r="E101" s="15"/>
    </row>
    <row r="102" spans="1:5" ht="18" customHeight="1" x14ac:dyDescent="0.25">
      <c r="A102" s="14" t="s">
        <v>297</v>
      </c>
      <c r="B102" s="15" t="s">
        <v>387</v>
      </c>
      <c r="C102" s="15"/>
      <c r="D102" s="15"/>
      <c r="E102" s="15" t="s">
        <v>388</v>
      </c>
    </row>
    <row r="103" spans="1:5" ht="18.75" customHeight="1" x14ac:dyDescent="0.25">
      <c r="A103" s="5" t="s">
        <v>389</v>
      </c>
      <c r="B103" s="5"/>
      <c r="C103" s="5"/>
      <c r="D103" s="5"/>
      <c r="E103" s="5"/>
    </row>
    <row r="104" spans="1:5" ht="18.75" customHeight="1" x14ac:dyDescent="0.25">
      <c r="A104" s="4" t="s">
        <v>390</v>
      </c>
      <c r="B104" s="4"/>
      <c r="C104" s="4"/>
      <c r="D104" s="4"/>
      <c r="E104" s="4"/>
    </row>
    <row r="105" spans="1:5" ht="18" customHeight="1" x14ac:dyDescent="0.25">
      <c r="A105" s="14" t="s">
        <v>166</v>
      </c>
      <c r="B105" s="15" t="s">
        <v>391</v>
      </c>
      <c r="C105" s="15"/>
      <c r="D105" s="15" t="s">
        <v>392</v>
      </c>
      <c r="E105" s="15"/>
    </row>
    <row r="106" spans="1:5" ht="18" customHeight="1" x14ac:dyDescent="0.25">
      <c r="A106" s="14" t="s">
        <v>393</v>
      </c>
      <c r="B106" s="15" t="s">
        <v>394</v>
      </c>
      <c r="C106" s="15"/>
      <c r="D106" s="15"/>
      <c r="E106" s="15"/>
    </row>
    <row r="107" spans="1:5" ht="18" customHeight="1" x14ac:dyDescent="0.25">
      <c r="A107" s="14" t="s">
        <v>395</v>
      </c>
      <c r="B107" s="15" t="s">
        <v>396</v>
      </c>
      <c r="C107" s="15"/>
      <c r="D107" s="17" t="s">
        <v>186</v>
      </c>
      <c r="E107" s="15" t="s">
        <v>397</v>
      </c>
    </row>
    <row r="108" spans="1:5" ht="18" customHeight="1" x14ac:dyDescent="0.25">
      <c r="A108" s="14" t="s">
        <v>398</v>
      </c>
      <c r="B108" s="15" t="s">
        <v>399</v>
      </c>
      <c r="C108" s="15"/>
      <c r="D108" s="15" t="s">
        <v>181</v>
      </c>
      <c r="E108" s="15"/>
    </row>
    <row r="109" spans="1:5" ht="33" customHeight="1" x14ac:dyDescent="0.25">
      <c r="A109" s="14" t="s">
        <v>265</v>
      </c>
      <c r="B109" s="15" t="s">
        <v>400</v>
      </c>
      <c r="C109" s="15"/>
      <c r="D109" s="15"/>
      <c r="E109" s="15"/>
    </row>
    <row r="110" spans="1:5" ht="18" customHeight="1" x14ac:dyDescent="0.25">
      <c r="A110" s="14" t="s">
        <v>268</v>
      </c>
      <c r="B110" s="15" t="s">
        <v>401</v>
      </c>
      <c r="C110" s="15"/>
      <c r="D110" s="15"/>
      <c r="E110" s="15"/>
    </row>
    <row r="111" spans="1:5" ht="33" customHeight="1" x14ac:dyDescent="0.25">
      <c r="A111" s="14" t="s">
        <v>402</v>
      </c>
      <c r="B111" s="15" t="s">
        <v>403</v>
      </c>
      <c r="C111" s="15"/>
      <c r="D111" s="17" t="s">
        <v>404</v>
      </c>
      <c r="E111" s="15" t="s">
        <v>405</v>
      </c>
    </row>
    <row r="112" spans="1:5" ht="18" customHeight="1" x14ac:dyDescent="0.25">
      <c r="A112" s="14" t="s">
        <v>406</v>
      </c>
      <c r="B112" s="15" t="s">
        <v>407</v>
      </c>
      <c r="C112" s="15"/>
      <c r="D112" s="15" t="s">
        <v>408</v>
      </c>
      <c r="E112" s="15"/>
    </row>
    <row r="113" spans="1:5" ht="18" customHeight="1" x14ac:dyDescent="0.25">
      <c r="A113" s="14" t="s">
        <v>385</v>
      </c>
      <c r="B113" s="15" t="s">
        <v>409</v>
      </c>
      <c r="C113" s="15"/>
      <c r="D113" s="15"/>
      <c r="E113" s="15"/>
    </row>
    <row r="114" spans="1:5" ht="18" customHeight="1" x14ac:dyDescent="0.25">
      <c r="A114" s="14" t="s">
        <v>197</v>
      </c>
      <c r="B114" s="15" t="s">
        <v>410</v>
      </c>
      <c r="C114" s="15"/>
      <c r="D114" s="15" t="s">
        <v>252</v>
      </c>
      <c r="E114" s="15"/>
    </row>
    <row r="115" spans="1:5" ht="33" customHeight="1" x14ac:dyDescent="0.25">
      <c r="A115" s="14" t="s">
        <v>411</v>
      </c>
      <c r="B115" s="15" t="s">
        <v>412</v>
      </c>
      <c r="C115" s="15"/>
      <c r="D115" s="15"/>
      <c r="E115" s="15"/>
    </row>
    <row r="116" spans="1:5" ht="18.75" customHeight="1" x14ac:dyDescent="0.25">
      <c r="A116" s="5" t="s">
        <v>413</v>
      </c>
      <c r="B116" s="5"/>
      <c r="C116" s="5"/>
      <c r="D116" s="5"/>
      <c r="E116" s="5"/>
    </row>
    <row r="117" spans="1:5" ht="18.75" customHeight="1" x14ac:dyDescent="0.25">
      <c r="A117" s="4" t="s">
        <v>414</v>
      </c>
      <c r="B117" s="4"/>
      <c r="C117" s="4"/>
      <c r="D117" s="4"/>
      <c r="E117" s="4"/>
    </row>
    <row r="118" spans="1:5" ht="18" customHeight="1" x14ac:dyDescent="0.25">
      <c r="A118" s="14" t="s">
        <v>415</v>
      </c>
      <c r="B118" s="15" t="s">
        <v>416</v>
      </c>
      <c r="C118" s="15" t="s">
        <v>417</v>
      </c>
      <c r="D118" s="15"/>
      <c r="E118" s="15"/>
    </row>
    <row r="119" spans="1:5" ht="33" customHeight="1" x14ac:dyDescent="0.25">
      <c r="A119" s="14" t="s">
        <v>152</v>
      </c>
      <c r="B119" s="15" t="s">
        <v>418</v>
      </c>
      <c r="C119" s="15" t="s">
        <v>419</v>
      </c>
      <c r="D119" s="15"/>
      <c r="E119" s="15" t="s">
        <v>420</v>
      </c>
    </row>
    <row r="120" spans="1:5" ht="33" customHeight="1" x14ac:dyDescent="0.25">
      <c r="A120" s="14"/>
      <c r="B120" s="15" t="s">
        <v>421</v>
      </c>
      <c r="C120" s="15"/>
      <c r="D120" s="15"/>
      <c r="E120" s="15"/>
    </row>
    <row r="121" spans="1:5" ht="18.75" customHeight="1" x14ac:dyDescent="0.25">
      <c r="A121" s="5" t="s">
        <v>422</v>
      </c>
      <c r="B121" s="5"/>
      <c r="C121" s="5"/>
      <c r="D121" s="5"/>
      <c r="E121" s="5"/>
    </row>
  </sheetData>
  <mergeCells count="27">
    <mergeCell ref="A117:E117"/>
    <mergeCell ref="A121:E121"/>
    <mergeCell ref="A93:E93"/>
    <mergeCell ref="A94:E94"/>
    <mergeCell ref="A103:E103"/>
    <mergeCell ref="A104:E104"/>
    <mergeCell ref="A116:E116"/>
    <mergeCell ref="A61:E61"/>
    <mergeCell ref="A70:E70"/>
    <mergeCell ref="A71:E71"/>
    <mergeCell ref="A82:E82"/>
    <mergeCell ref="A83:E83"/>
    <mergeCell ref="A38:E38"/>
    <mergeCell ref="A39:E39"/>
    <mergeCell ref="A49:E49"/>
    <mergeCell ref="A50:E50"/>
    <mergeCell ref="A60:E60"/>
    <mergeCell ref="A10:E10"/>
    <mergeCell ref="A21:E21"/>
    <mergeCell ref="A22:E22"/>
    <mergeCell ref="A30:E30"/>
    <mergeCell ref="A31:E31"/>
    <mergeCell ref="A1:E1"/>
    <mergeCell ref="A2:E2"/>
    <mergeCell ref="A5:E5"/>
    <mergeCell ref="A6:E6"/>
    <mergeCell ref="A9:E9"/>
  </mergeCells>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1"/>
  <sheetViews>
    <sheetView zoomScale="90" zoomScaleNormal="90" workbookViewId="0">
      <pane xSplit="2" ySplit="4" topLeftCell="C15" activePane="bottomRight" state="frozen"/>
      <selection pane="topRight" activeCell="C1" sqref="C1"/>
      <selection pane="bottomLeft" activeCell="A5" sqref="A5"/>
      <selection pane="bottomRight" sqref="A1:I1"/>
    </sheetView>
  </sheetViews>
  <sheetFormatPr defaultColWidth="8.7109375" defaultRowHeight="15" x14ac:dyDescent="0.25"/>
  <cols>
    <col min="1" max="1" width="11" customWidth="1"/>
    <col min="2" max="2" width="30" customWidth="1"/>
    <col min="3" max="3" width="18" customWidth="1"/>
    <col min="4" max="4" width="28" customWidth="1"/>
    <col min="5" max="5" width="22" customWidth="1"/>
    <col min="6" max="6" width="26" customWidth="1"/>
    <col min="7" max="7" width="11" customWidth="1"/>
    <col min="8" max="8" width="42" customWidth="1"/>
    <col min="9" max="9" width="12" customWidth="1"/>
  </cols>
  <sheetData>
    <row r="1" spans="1:9" ht="21.75" customHeight="1" x14ac:dyDescent="0.3">
      <c r="A1" s="9" t="s">
        <v>423</v>
      </c>
      <c r="B1" s="9"/>
      <c r="C1" s="9"/>
      <c r="D1" s="9"/>
      <c r="E1" s="9"/>
      <c r="F1" s="9"/>
      <c r="G1" s="9"/>
      <c r="H1" s="9"/>
      <c r="I1" s="9"/>
    </row>
    <row r="2" spans="1:9" ht="30" customHeight="1" x14ac:dyDescent="0.25">
      <c r="A2" s="8" t="s">
        <v>424</v>
      </c>
      <c r="B2" s="8"/>
      <c r="C2" s="8"/>
      <c r="D2" s="8"/>
      <c r="E2" s="8"/>
      <c r="F2" s="8"/>
      <c r="G2" s="8"/>
      <c r="H2" s="8"/>
      <c r="I2" s="8"/>
    </row>
    <row r="4" spans="1:9" ht="19.5" customHeight="1" x14ac:dyDescent="0.25">
      <c r="A4" s="12" t="s">
        <v>425</v>
      </c>
      <c r="B4" s="12" t="s">
        <v>426</v>
      </c>
      <c r="C4" s="12" t="s">
        <v>427</v>
      </c>
      <c r="D4" s="12" t="s">
        <v>428</v>
      </c>
      <c r="E4" s="12" t="s">
        <v>429</v>
      </c>
      <c r="F4" s="12" t="s">
        <v>430</v>
      </c>
      <c r="G4" s="12" t="s">
        <v>431</v>
      </c>
      <c r="H4" s="12" t="s">
        <v>432</v>
      </c>
      <c r="I4" s="12" t="s">
        <v>11</v>
      </c>
    </row>
    <row r="5" spans="1:9" ht="18" customHeight="1" x14ac:dyDescent="0.25">
      <c r="A5" s="16" t="s">
        <v>433</v>
      </c>
      <c r="B5" s="15" t="s">
        <v>434</v>
      </c>
      <c r="C5" s="17" t="s">
        <v>274</v>
      </c>
      <c r="D5" s="15" t="s">
        <v>435</v>
      </c>
      <c r="E5" s="15"/>
      <c r="F5" s="15"/>
      <c r="G5" s="16" t="s">
        <v>436</v>
      </c>
      <c r="H5" s="15" t="s">
        <v>437</v>
      </c>
      <c r="I5" s="16" t="s">
        <v>438</v>
      </c>
    </row>
    <row r="6" spans="1:9" ht="33" customHeight="1" x14ac:dyDescent="0.25">
      <c r="A6" s="16" t="s">
        <v>433</v>
      </c>
      <c r="B6" s="15" t="s">
        <v>439</v>
      </c>
      <c r="C6" s="17" t="s">
        <v>186</v>
      </c>
      <c r="D6" s="15" t="s">
        <v>440</v>
      </c>
      <c r="E6" s="15" t="s">
        <v>441</v>
      </c>
      <c r="F6" s="15" t="s">
        <v>442</v>
      </c>
      <c r="G6" s="16" t="s">
        <v>443</v>
      </c>
      <c r="H6" s="15" t="s">
        <v>444</v>
      </c>
      <c r="I6" s="16" t="s">
        <v>438</v>
      </c>
    </row>
    <row r="7" spans="1:9" ht="33" customHeight="1" x14ac:dyDescent="0.25">
      <c r="A7" s="16" t="s">
        <v>433</v>
      </c>
      <c r="B7" s="15" t="s">
        <v>445</v>
      </c>
      <c r="C7" s="15" t="s">
        <v>446</v>
      </c>
      <c r="D7" s="15" t="s">
        <v>447</v>
      </c>
      <c r="E7" s="15" t="s">
        <v>448</v>
      </c>
      <c r="F7" s="15" t="s">
        <v>449</v>
      </c>
      <c r="G7" s="16" t="s">
        <v>450</v>
      </c>
      <c r="H7" s="15"/>
      <c r="I7" s="16" t="s">
        <v>438</v>
      </c>
    </row>
    <row r="8" spans="1:9" ht="33" customHeight="1" x14ac:dyDescent="0.25">
      <c r="A8" s="16" t="s">
        <v>451</v>
      </c>
      <c r="B8" s="15" t="s">
        <v>452</v>
      </c>
      <c r="C8" s="17" t="s">
        <v>186</v>
      </c>
      <c r="D8" s="15" t="s">
        <v>453</v>
      </c>
      <c r="E8" s="15" t="s">
        <v>454</v>
      </c>
      <c r="F8" s="15" t="s">
        <v>455</v>
      </c>
      <c r="G8" s="16" t="s">
        <v>456</v>
      </c>
      <c r="H8" s="15" t="s">
        <v>457</v>
      </c>
      <c r="I8" s="16" t="s">
        <v>438</v>
      </c>
    </row>
    <row r="9" spans="1:9" ht="18" customHeight="1" x14ac:dyDescent="0.25">
      <c r="A9" s="16" t="s">
        <v>433</v>
      </c>
      <c r="B9" s="15" t="s">
        <v>458</v>
      </c>
      <c r="C9" s="15" t="s">
        <v>459</v>
      </c>
      <c r="D9" s="15" t="s">
        <v>460</v>
      </c>
      <c r="E9" s="15" t="s">
        <v>392</v>
      </c>
      <c r="F9" s="15"/>
      <c r="G9" s="16" t="s">
        <v>461</v>
      </c>
      <c r="H9" s="15" t="s">
        <v>462</v>
      </c>
      <c r="I9" s="16" t="s">
        <v>438</v>
      </c>
    </row>
    <row r="10" spans="1:9" ht="18" customHeight="1" x14ac:dyDescent="0.25">
      <c r="A10" s="16" t="s">
        <v>433</v>
      </c>
      <c r="B10" s="15" t="s">
        <v>463</v>
      </c>
      <c r="C10" s="15" t="s">
        <v>446</v>
      </c>
      <c r="D10" s="15" t="s">
        <v>464</v>
      </c>
      <c r="E10" s="15" t="s">
        <v>465</v>
      </c>
      <c r="F10" s="15" t="s">
        <v>466</v>
      </c>
      <c r="G10" s="16" t="s">
        <v>461</v>
      </c>
      <c r="H10" s="15" t="s">
        <v>467</v>
      </c>
      <c r="I10" s="16" t="s">
        <v>438</v>
      </c>
    </row>
    <row r="11" spans="1:9" ht="33" customHeight="1" x14ac:dyDescent="0.25">
      <c r="A11" s="16" t="s">
        <v>468</v>
      </c>
      <c r="B11" s="15" t="s">
        <v>469</v>
      </c>
      <c r="C11" s="17" t="s">
        <v>274</v>
      </c>
      <c r="D11" s="15" t="s">
        <v>470</v>
      </c>
      <c r="E11" s="15"/>
      <c r="F11" s="15"/>
      <c r="G11" s="16" t="s">
        <v>471</v>
      </c>
      <c r="H11" s="15" t="s">
        <v>472</v>
      </c>
      <c r="I11" s="16" t="s">
        <v>438</v>
      </c>
    </row>
    <row r="12" spans="1:9" ht="33" customHeight="1" x14ac:dyDescent="0.25">
      <c r="A12" s="16" t="s">
        <v>473</v>
      </c>
      <c r="B12" s="15" t="s">
        <v>474</v>
      </c>
      <c r="C12" s="17" t="s">
        <v>241</v>
      </c>
      <c r="D12" s="15" t="s">
        <v>475</v>
      </c>
      <c r="E12" s="15" t="s">
        <v>476</v>
      </c>
      <c r="F12" s="15" t="s">
        <v>477</v>
      </c>
      <c r="G12" s="16" t="s">
        <v>478</v>
      </c>
      <c r="H12" s="15" t="s">
        <v>479</v>
      </c>
      <c r="I12" s="16" t="s">
        <v>438</v>
      </c>
    </row>
    <row r="13" spans="1:9" ht="18" customHeight="1" x14ac:dyDescent="0.25">
      <c r="A13" s="16" t="s">
        <v>473</v>
      </c>
      <c r="B13" s="15" t="s">
        <v>480</v>
      </c>
      <c r="C13" s="17" t="s">
        <v>186</v>
      </c>
      <c r="D13" s="15" t="s">
        <v>481</v>
      </c>
      <c r="E13" s="15" t="s">
        <v>482</v>
      </c>
      <c r="F13" s="15"/>
      <c r="G13" s="16" t="s">
        <v>483</v>
      </c>
      <c r="H13" s="15" t="s">
        <v>484</v>
      </c>
      <c r="I13" s="16" t="s">
        <v>438</v>
      </c>
    </row>
    <row r="14" spans="1:9" ht="48" customHeight="1" x14ac:dyDescent="0.25">
      <c r="A14" s="16" t="s">
        <v>485</v>
      </c>
      <c r="B14" s="15" t="s">
        <v>486</v>
      </c>
      <c r="C14" s="17" t="s">
        <v>487</v>
      </c>
      <c r="D14" s="15" t="s">
        <v>488</v>
      </c>
      <c r="E14" s="15" t="s">
        <v>489</v>
      </c>
      <c r="F14" s="15" t="s">
        <v>490</v>
      </c>
      <c r="G14" s="16" t="s">
        <v>491</v>
      </c>
      <c r="H14" s="15" t="s">
        <v>492</v>
      </c>
      <c r="I14" s="16" t="s">
        <v>438</v>
      </c>
    </row>
    <row r="15" spans="1:9" ht="33" customHeight="1" x14ac:dyDescent="0.25">
      <c r="A15" s="16" t="s">
        <v>485</v>
      </c>
      <c r="B15" s="15" t="s">
        <v>493</v>
      </c>
      <c r="C15" s="17" t="s">
        <v>274</v>
      </c>
      <c r="D15" s="15" t="s">
        <v>494</v>
      </c>
      <c r="E15" s="15" t="s">
        <v>495</v>
      </c>
      <c r="F15" s="15"/>
      <c r="G15" s="16" t="s">
        <v>496</v>
      </c>
      <c r="H15" s="15" t="s">
        <v>497</v>
      </c>
      <c r="I15" s="16" t="s">
        <v>438</v>
      </c>
    </row>
    <row r="16" spans="1:9" ht="33" customHeight="1" x14ac:dyDescent="0.25">
      <c r="A16" s="16" t="s">
        <v>498</v>
      </c>
      <c r="B16" s="15" t="s">
        <v>499</v>
      </c>
      <c r="C16" s="17" t="s">
        <v>241</v>
      </c>
      <c r="D16" s="15" t="s">
        <v>500</v>
      </c>
      <c r="E16" s="15"/>
      <c r="F16" s="15" t="s">
        <v>501</v>
      </c>
      <c r="G16" s="16" t="s">
        <v>502</v>
      </c>
      <c r="H16" s="15" t="s">
        <v>503</v>
      </c>
      <c r="I16" s="16" t="s">
        <v>438</v>
      </c>
    </row>
    <row r="17" spans="1:9" ht="48" customHeight="1" x14ac:dyDescent="0.25">
      <c r="A17" s="16" t="s">
        <v>498</v>
      </c>
      <c r="B17" s="15" t="s">
        <v>504</v>
      </c>
      <c r="C17" s="15" t="s">
        <v>446</v>
      </c>
      <c r="D17" s="15" t="s">
        <v>505</v>
      </c>
      <c r="E17" s="15" t="s">
        <v>506</v>
      </c>
      <c r="F17" s="15" t="s">
        <v>507</v>
      </c>
      <c r="G17" s="16" t="s">
        <v>483</v>
      </c>
      <c r="H17" s="15" t="s">
        <v>508</v>
      </c>
      <c r="I17" s="16" t="s">
        <v>438</v>
      </c>
    </row>
    <row r="18" spans="1:9" ht="33" customHeight="1" x14ac:dyDescent="0.25">
      <c r="A18" s="16" t="s">
        <v>498</v>
      </c>
      <c r="B18" s="15" t="s">
        <v>509</v>
      </c>
      <c r="C18" s="15" t="s">
        <v>446</v>
      </c>
      <c r="D18" s="15" t="s">
        <v>510</v>
      </c>
      <c r="E18" s="15" t="s">
        <v>511</v>
      </c>
      <c r="F18" s="15"/>
      <c r="G18" s="16" t="s">
        <v>512</v>
      </c>
      <c r="H18" s="15" t="s">
        <v>513</v>
      </c>
      <c r="I18" s="16" t="s">
        <v>438</v>
      </c>
    </row>
    <row r="19" spans="1:9" ht="33" customHeight="1" x14ac:dyDescent="0.25">
      <c r="A19" s="16" t="s">
        <v>514</v>
      </c>
      <c r="B19" s="15" t="s">
        <v>515</v>
      </c>
      <c r="C19" s="17" t="s">
        <v>274</v>
      </c>
      <c r="D19" s="15" t="s">
        <v>516</v>
      </c>
      <c r="E19" s="15"/>
      <c r="F19" s="15"/>
      <c r="G19" s="16" t="s">
        <v>517</v>
      </c>
      <c r="H19" s="15" t="s">
        <v>518</v>
      </c>
      <c r="I19" s="16" t="s">
        <v>438</v>
      </c>
    </row>
    <row r="20" spans="1:9" ht="33" customHeight="1" x14ac:dyDescent="0.25">
      <c r="A20" s="16" t="s">
        <v>519</v>
      </c>
      <c r="B20" s="15" t="s">
        <v>520</v>
      </c>
      <c r="C20" s="15" t="s">
        <v>446</v>
      </c>
      <c r="D20" s="15" t="s">
        <v>521</v>
      </c>
      <c r="E20" s="15" t="s">
        <v>482</v>
      </c>
      <c r="F20" s="15" t="s">
        <v>522</v>
      </c>
      <c r="G20" s="16" t="s">
        <v>436</v>
      </c>
      <c r="H20" s="15"/>
      <c r="I20" s="16" t="s">
        <v>438</v>
      </c>
    </row>
    <row r="21" spans="1:9" ht="33" customHeight="1" x14ac:dyDescent="0.25">
      <c r="A21" s="16" t="s">
        <v>519</v>
      </c>
      <c r="B21" s="15" t="s">
        <v>523</v>
      </c>
      <c r="C21" s="17" t="s">
        <v>274</v>
      </c>
      <c r="D21" s="15" t="s">
        <v>524</v>
      </c>
      <c r="E21" s="15" t="s">
        <v>525</v>
      </c>
      <c r="F21" s="15" t="s">
        <v>526</v>
      </c>
      <c r="G21" s="16" t="s">
        <v>527</v>
      </c>
      <c r="H21" s="15" t="s">
        <v>528</v>
      </c>
      <c r="I21" s="16" t="s">
        <v>438</v>
      </c>
    </row>
    <row r="22" spans="1:9" ht="33" customHeight="1" x14ac:dyDescent="0.25">
      <c r="A22" s="16" t="s">
        <v>529</v>
      </c>
      <c r="B22" s="15" t="s">
        <v>530</v>
      </c>
      <c r="C22" s="15" t="s">
        <v>446</v>
      </c>
      <c r="D22" s="15" t="s">
        <v>531</v>
      </c>
      <c r="E22" s="15"/>
      <c r="F22" s="15"/>
      <c r="G22" s="16" t="s">
        <v>532</v>
      </c>
      <c r="H22" s="15"/>
      <c r="I22" s="16" t="s">
        <v>438</v>
      </c>
    </row>
    <row r="23" spans="1:9" ht="33" customHeight="1" x14ac:dyDescent="0.25">
      <c r="A23" s="16" t="s">
        <v>529</v>
      </c>
      <c r="B23" s="15" t="s">
        <v>355</v>
      </c>
      <c r="C23" s="17" t="s">
        <v>533</v>
      </c>
      <c r="D23" s="15" t="s">
        <v>534</v>
      </c>
      <c r="E23" s="15" t="s">
        <v>535</v>
      </c>
      <c r="F23" s="15" t="s">
        <v>536</v>
      </c>
      <c r="G23" s="16" t="s">
        <v>537</v>
      </c>
      <c r="H23" s="15" t="s">
        <v>538</v>
      </c>
      <c r="I23" s="16" t="s">
        <v>438</v>
      </c>
    </row>
    <row r="24" spans="1:9" ht="18" customHeight="1" x14ac:dyDescent="0.25">
      <c r="A24" s="16" t="s">
        <v>529</v>
      </c>
      <c r="B24" s="15" t="s">
        <v>539</v>
      </c>
      <c r="C24" s="15" t="s">
        <v>446</v>
      </c>
      <c r="D24" s="15" t="s">
        <v>540</v>
      </c>
      <c r="E24" s="15" t="s">
        <v>541</v>
      </c>
      <c r="F24" s="15"/>
      <c r="G24" s="16" t="s">
        <v>483</v>
      </c>
      <c r="H24" s="15"/>
      <c r="I24" s="16" t="s">
        <v>438</v>
      </c>
    </row>
    <row r="25" spans="1:9" ht="18" customHeight="1" x14ac:dyDescent="0.25">
      <c r="A25" s="16" t="s">
        <v>542</v>
      </c>
      <c r="B25" s="15" t="s">
        <v>543</v>
      </c>
      <c r="C25" s="17" t="s">
        <v>274</v>
      </c>
      <c r="D25" s="15" t="s">
        <v>544</v>
      </c>
      <c r="E25" s="15" t="s">
        <v>545</v>
      </c>
      <c r="F25" s="15"/>
      <c r="G25" s="16" t="s">
        <v>546</v>
      </c>
      <c r="H25" s="15" t="s">
        <v>547</v>
      </c>
      <c r="I25" s="16" t="s">
        <v>438</v>
      </c>
    </row>
    <row r="26" spans="1:9" ht="33" customHeight="1" x14ac:dyDescent="0.25">
      <c r="A26" s="16" t="s">
        <v>548</v>
      </c>
      <c r="B26" s="15" t="s">
        <v>396</v>
      </c>
      <c r="C26" s="17" t="s">
        <v>186</v>
      </c>
      <c r="D26" s="15" t="s">
        <v>549</v>
      </c>
      <c r="E26" s="15" t="s">
        <v>550</v>
      </c>
      <c r="F26" s="15"/>
      <c r="G26" s="16" t="s">
        <v>551</v>
      </c>
      <c r="H26" s="15"/>
      <c r="I26" s="16" t="s">
        <v>438</v>
      </c>
    </row>
    <row r="27" spans="1:9" ht="18" customHeight="1" x14ac:dyDescent="0.25">
      <c r="A27" s="16" t="s">
        <v>548</v>
      </c>
      <c r="B27" s="15" t="s">
        <v>552</v>
      </c>
      <c r="C27" s="15" t="s">
        <v>446</v>
      </c>
      <c r="D27" s="15" t="s">
        <v>553</v>
      </c>
      <c r="E27" s="15" t="s">
        <v>554</v>
      </c>
      <c r="F27" s="15"/>
      <c r="G27" s="16" t="s">
        <v>461</v>
      </c>
      <c r="H27" s="15"/>
      <c r="I27" s="16" t="s">
        <v>438</v>
      </c>
    </row>
    <row r="28" spans="1:9" ht="33" customHeight="1" x14ac:dyDescent="0.25">
      <c r="A28" s="16" t="s">
        <v>548</v>
      </c>
      <c r="B28" s="15" t="s">
        <v>555</v>
      </c>
      <c r="C28" s="17" t="s">
        <v>274</v>
      </c>
      <c r="D28" s="15" t="s">
        <v>556</v>
      </c>
      <c r="E28" s="15" t="s">
        <v>557</v>
      </c>
      <c r="F28" s="15"/>
      <c r="G28" s="16" t="s">
        <v>558</v>
      </c>
      <c r="H28" s="15" t="s">
        <v>559</v>
      </c>
      <c r="I28" s="16" t="s">
        <v>438</v>
      </c>
    </row>
    <row r="29" spans="1:9" ht="18" customHeight="1" x14ac:dyDescent="0.25">
      <c r="A29" s="16" t="s">
        <v>548</v>
      </c>
      <c r="B29" s="15" t="s">
        <v>560</v>
      </c>
      <c r="C29" s="15" t="s">
        <v>408</v>
      </c>
      <c r="D29" s="15" t="s">
        <v>561</v>
      </c>
      <c r="E29" s="15" t="s">
        <v>541</v>
      </c>
      <c r="F29" s="15"/>
      <c r="G29" s="16" t="s">
        <v>562</v>
      </c>
      <c r="H29" s="15" t="s">
        <v>563</v>
      </c>
      <c r="I29" s="16" t="s">
        <v>438</v>
      </c>
    </row>
    <row r="30" spans="1:9" ht="18" customHeight="1" x14ac:dyDescent="0.25">
      <c r="A30" s="16" t="s">
        <v>548</v>
      </c>
      <c r="B30" s="15" t="s">
        <v>564</v>
      </c>
      <c r="C30" s="15" t="s">
        <v>446</v>
      </c>
      <c r="D30" s="15"/>
      <c r="E30" s="15"/>
      <c r="F30" s="15"/>
      <c r="G30" s="16"/>
      <c r="H30" s="15"/>
      <c r="I30" s="16" t="s">
        <v>438</v>
      </c>
    </row>
    <row r="31" spans="1:9" ht="18" customHeight="1" x14ac:dyDescent="0.25">
      <c r="A31" s="16" t="s">
        <v>565</v>
      </c>
      <c r="B31" s="15" t="s">
        <v>566</v>
      </c>
      <c r="C31" s="15" t="s">
        <v>446</v>
      </c>
      <c r="D31" s="15"/>
      <c r="E31" s="15"/>
      <c r="F31" s="15"/>
      <c r="G31" s="16"/>
      <c r="H31" s="15"/>
      <c r="I31" s="16" t="s">
        <v>438</v>
      </c>
    </row>
  </sheetData>
  <mergeCells count="2">
    <mergeCell ref="A1:I1"/>
    <mergeCell ref="A2:I2"/>
  </mergeCells>
  <conditionalFormatting sqref="I5:I31">
    <cfRule type="expression" dxfId="3" priority="2">
      <formula>I5="Đã đặt"</formula>
    </cfRule>
  </conditionalFormatting>
  <dataValidations count="1">
    <dataValidation type="list" allowBlank="1" sqref="I5:I31" xr:uid="{00000000-0002-0000-0200-000000000000}">
      <formula1>"Chưa đặt,Đã đặt,Không đi"</formula1>
      <formula2>0</formula2>
    </dataValidation>
  </dataValidations>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8"/>
  <sheetViews>
    <sheetView zoomScale="90" zoomScaleNormal="90" workbookViewId="0">
      <pane xSplit="2" ySplit="4" topLeftCell="C25" activePane="bottomRight" state="frozen"/>
      <selection pane="topRight" activeCell="C1" sqref="C1"/>
      <selection pane="bottomLeft" activeCell="A5" sqref="A5"/>
      <selection pane="bottomRight" sqref="A1:G1"/>
    </sheetView>
  </sheetViews>
  <sheetFormatPr defaultColWidth="8.7109375" defaultRowHeight="15" x14ac:dyDescent="0.25"/>
  <cols>
    <col min="1" max="1" width="11" customWidth="1"/>
    <col min="2" max="2" width="22" customWidth="1"/>
    <col min="3" max="3" width="11" customWidth="1"/>
    <col min="4" max="4" width="78" customWidth="1"/>
    <col min="5" max="5" width="40" customWidth="1"/>
    <col min="6" max="6" width="30" customWidth="1"/>
    <col min="7" max="7" width="11" customWidth="1"/>
  </cols>
  <sheetData>
    <row r="1" spans="1:7" ht="21.75" customHeight="1" x14ac:dyDescent="0.3">
      <c r="A1" s="9" t="s">
        <v>567</v>
      </c>
      <c r="B1" s="9"/>
      <c r="C1" s="9"/>
      <c r="D1" s="9"/>
      <c r="E1" s="9"/>
      <c r="F1" s="9"/>
      <c r="G1" s="9"/>
    </row>
    <row r="2" spans="1:7" ht="15.75" customHeight="1" x14ac:dyDescent="0.25">
      <c r="A2" s="8" t="s">
        <v>568</v>
      </c>
      <c r="B2" s="8"/>
      <c r="C2" s="8"/>
      <c r="D2" s="8"/>
      <c r="E2" s="8"/>
      <c r="F2" s="8"/>
      <c r="G2" s="8"/>
    </row>
    <row r="3" spans="1:7" x14ac:dyDescent="0.25">
      <c r="A3" s="10" t="s">
        <v>569</v>
      </c>
      <c r="B3" s="21" t="str">
        <f>COUNTIF(G5:G28,"Đã thuộc")&amp;" / "&amp;COUNTA(B5:B28)&amp;" địa điểm"</f>
        <v>0 / 24 địa điểm</v>
      </c>
    </row>
    <row r="4" spans="1:7" ht="19.5" customHeight="1" x14ac:dyDescent="0.25">
      <c r="A4" s="12" t="s">
        <v>570</v>
      </c>
      <c r="B4" s="12" t="s">
        <v>571</v>
      </c>
      <c r="C4" s="12" t="s">
        <v>572</v>
      </c>
      <c r="D4" s="12" t="s">
        <v>573</v>
      </c>
      <c r="E4" s="12" t="s">
        <v>574</v>
      </c>
      <c r="F4" s="12" t="s">
        <v>575</v>
      </c>
      <c r="G4" s="12" t="s">
        <v>576</v>
      </c>
    </row>
    <row r="5" spans="1:7" ht="153" customHeight="1" x14ac:dyDescent="0.25">
      <c r="A5" s="22" t="s">
        <v>577</v>
      </c>
      <c r="B5" s="22" t="s">
        <v>439</v>
      </c>
      <c r="C5" s="23" t="s">
        <v>433</v>
      </c>
      <c r="D5" s="24" t="s">
        <v>578</v>
      </c>
      <c r="E5" s="25" t="s">
        <v>579</v>
      </c>
      <c r="F5" s="24" t="s">
        <v>580</v>
      </c>
      <c r="G5" s="23" t="s">
        <v>581</v>
      </c>
    </row>
    <row r="6" spans="1:7" ht="123" customHeight="1" x14ac:dyDescent="0.25">
      <c r="A6" s="22" t="s">
        <v>577</v>
      </c>
      <c r="B6" s="22" t="s">
        <v>582</v>
      </c>
      <c r="C6" s="23" t="s">
        <v>433</v>
      </c>
      <c r="D6" s="24" t="s">
        <v>583</v>
      </c>
      <c r="E6" s="25" t="s">
        <v>584</v>
      </c>
      <c r="F6" s="24" t="s">
        <v>585</v>
      </c>
      <c r="G6" s="23" t="s">
        <v>581</v>
      </c>
    </row>
    <row r="7" spans="1:7" ht="153" customHeight="1" x14ac:dyDescent="0.25">
      <c r="A7" s="22" t="s">
        <v>577</v>
      </c>
      <c r="B7" s="22" t="s">
        <v>452</v>
      </c>
      <c r="C7" s="23" t="s">
        <v>451</v>
      </c>
      <c r="D7" s="24" t="s">
        <v>586</v>
      </c>
      <c r="E7" s="25" t="s">
        <v>587</v>
      </c>
      <c r="F7" s="24" t="s">
        <v>588</v>
      </c>
      <c r="G7" s="23" t="s">
        <v>581</v>
      </c>
    </row>
    <row r="8" spans="1:7" ht="138" customHeight="1" x14ac:dyDescent="0.25">
      <c r="A8" s="22" t="s">
        <v>577</v>
      </c>
      <c r="B8" s="22" t="s">
        <v>458</v>
      </c>
      <c r="C8" s="23" t="s">
        <v>433</v>
      </c>
      <c r="D8" s="24" t="s">
        <v>589</v>
      </c>
      <c r="E8" s="25" t="s">
        <v>590</v>
      </c>
      <c r="F8" s="24" t="s">
        <v>591</v>
      </c>
      <c r="G8" s="23" t="s">
        <v>581</v>
      </c>
    </row>
    <row r="9" spans="1:7" ht="138" customHeight="1" x14ac:dyDescent="0.25">
      <c r="A9" s="22" t="s">
        <v>577</v>
      </c>
      <c r="B9" s="22" t="s">
        <v>592</v>
      </c>
      <c r="C9" s="23" t="s">
        <v>433</v>
      </c>
      <c r="D9" s="24" t="s">
        <v>593</v>
      </c>
      <c r="E9" s="25" t="s">
        <v>594</v>
      </c>
      <c r="F9" s="24" t="s">
        <v>595</v>
      </c>
      <c r="G9" s="23" t="s">
        <v>581</v>
      </c>
    </row>
    <row r="10" spans="1:7" ht="138" customHeight="1" x14ac:dyDescent="0.25">
      <c r="A10" s="26" t="s">
        <v>596</v>
      </c>
      <c r="B10" s="26" t="s">
        <v>597</v>
      </c>
      <c r="C10" s="27" t="s">
        <v>468</v>
      </c>
      <c r="D10" s="28" t="s">
        <v>598</v>
      </c>
      <c r="E10" s="29" t="s">
        <v>599</v>
      </c>
      <c r="F10" s="28" t="s">
        <v>600</v>
      </c>
      <c r="G10" s="27" t="s">
        <v>581</v>
      </c>
    </row>
    <row r="11" spans="1:7" ht="123" customHeight="1" x14ac:dyDescent="0.25">
      <c r="A11" s="26" t="s">
        <v>596</v>
      </c>
      <c r="B11" s="26" t="s">
        <v>601</v>
      </c>
      <c r="C11" s="27" t="s">
        <v>468</v>
      </c>
      <c r="D11" s="28" t="s">
        <v>602</v>
      </c>
      <c r="E11" s="29" t="s">
        <v>603</v>
      </c>
      <c r="F11" s="28" t="s">
        <v>604</v>
      </c>
      <c r="G11" s="27" t="s">
        <v>581</v>
      </c>
    </row>
    <row r="12" spans="1:7" ht="153" customHeight="1" x14ac:dyDescent="0.25">
      <c r="A12" s="26" t="s">
        <v>596</v>
      </c>
      <c r="B12" s="26" t="s">
        <v>486</v>
      </c>
      <c r="C12" s="27" t="s">
        <v>485</v>
      </c>
      <c r="D12" s="28" t="s">
        <v>605</v>
      </c>
      <c r="E12" s="29" t="s">
        <v>606</v>
      </c>
      <c r="F12" s="28" t="s">
        <v>607</v>
      </c>
      <c r="G12" s="27" t="s">
        <v>581</v>
      </c>
    </row>
    <row r="13" spans="1:7" ht="123" customHeight="1" x14ac:dyDescent="0.25">
      <c r="A13" s="26" t="s">
        <v>596</v>
      </c>
      <c r="B13" s="26" t="s">
        <v>608</v>
      </c>
      <c r="C13" s="27" t="s">
        <v>609</v>
      </c>
      <c r="D13" s="28" t="s">
        <v>610</v>
      </c>
      <c r="E13" s="29" t="s">
        <v>611</v>
      </c>
      <c r="F13" s="28" t="s">
        <v>612</v>
      </c>
      <c r="G13" s="27" t="s">
        <v>581</v>
      </c>
    </row>
    <row r="14" spans="1:7" ht="108" customHeight="1" x14ac:dyDescent="0.25">
      <c r="A14" s="22" t="s">
        <v>613</v>
      </c>
      <c r="B14" s="22" t="s">
        <v>614</v>
      </c>
      <c r="C14" s="23" t="s">
        <v>485</v>
      </c>
      <c r="D14" s="24" t="s">
        <v>615</v>
      </c>
      <c r="E14" s="25" t="s">
        <v>616</v>
      </c>
      <c r="F14" s="24" t="s">
        <v>617</v>
      </c>
      <c r="G14" s="23" t="s">
        <v>581</v>
      </c>
    </row>
    <row r="15" spans="1:7" ht="153" customHeight="1" x14ac:dyDescent="0.25">
      <c r="A15" s="22" t="s">
        <v>613</v>
      </c>
      <c r="B15" s="22" t="s">
        <v>618</v>
      </c>
      <c r="C15" s="23" t="s">
        <v>498</v>
      </c>
      <c r="D15" s="24" t="s">
        <v>619</v>
      </c>
      <c r="E15" s="25" t="s">
        <v>620</v>
      </c>
      <c r="F15" s="24" t="s">
        <v>621</v>
      </c>
      <c r="G15" s="23" t="s">
        <v>581</v>
      </c>
    </row>
    <row r="16" spans="1:7" ht="123" customHeight="1" x14ac:dyDescent="0.25">
      <c r="A16" s="22" t="s">
        <v>613</v>
      </c>
      <c r="B16" s="22" t="s">
        <v>622</v>
      </c>
      <c r="C16" s="23" t="s">
        <v>498</v>
      </c>
      <c r="D16" s="24" t="s">
        <v>623</v>
      </c>
      <c r="E16" s="25" t="s">
        <v>624</v>
      </c>
      <c r="F16" s="24" t="s">
        <v>625</v>
      </c>
      <c r="G16" s="23" t="s">
        <v>581</v>
      </c>
    </row>
    <row r="17" spans="1:7" ht="123" customHeight="1" x14ac:dyDescent="0.25">
      <c r="A17" s="22" t="s">
        <v>613</v>
      </c>
      <c r="B17" s="22" t="s">
        <v>626</v>
      </c>
      <c r="C17" s="23" t="s">
        <v>498</v>
      </c>
      <c r="D17" s="24" t="s">
        <v>627</v>
      </c>
      <c r="E17" s="25" t="s">
        <v>628</v>
      </c>
      <c r="F17" s="24" t="s">
        <v>629</v>
      </c>
      <c r="G17" s="23" t="s">
        <v>581</v>
      </c>
    </row>
    <row r="18" spans="1:7" ht="138" customHeight="1" x14ac:dyDescent="0.25">
      <c r="A18" s="26" t="s">
        <v>630</v>
      </c>
      <c r="B18" s="26" t="s">
        <v>631</v>
      </c>
      <c r="C18" s="27" t="s">
        <v>632</v>
      </c>
      <c r="D18" s="28" t="s">
        <v>633</v>
      </c>
      <c r="E18" s="29" t="s">
        <v>634</v>
      </c>
      <c r="F18" s="28" t="s">
        <v>635</v>
      </c>
      <c r="G18" s="27" t="s">
        <v>581</v>
      </c>
    </row>
    <row r="19" spans="1:7" ht="138" customHeight="1" x14ac:dyDescent="0.25">
      <c r="A19" s="26" t="s">
        <v>636</v>
      </c>
      <c r="B19" s="26" t="s">
        <v>637</v>
      </c>
      <c r="C19" s="27" t="s">
        <v>632</v>
      </c>
      <c r="D19" s="28" t="s">
        <v>638</v>
      </c>
      <c r="E19" s="29" t="s">
        <v>639</v>
      </c>
      <c r="F19" s="28" t="s">
        <v>640</v>
      </c>
      <c r="G19" s="27" t="s">
        <v>581</v>
      </c>
    </row>
    <row r="20" spans="1:7" ht="168" customHeight="1" x14ac:dyDescent="0.25">
      <c r="A20" s="22" t="s">
        <v>641</v>
      </c>
      <c r="B20" s="22" t="s">
        <v>642</v>
      </c>
      <c r="C20" s="23" t="s">
        <v>519</v>
      </c>
      <c r="D20" s="24" t="s">
        <v>643</v>
      </c>
      <c r="E20" s="25" t="s">
        <v>644</v>
      </c>
      <c r="F20" s="24" t="s">
        <v>645</v>
      </c>
      <c r="G20" s="23" t="s">
        <v>581</v>
      </c>
    </row>
    <row r="21" spans="1:7" ht="108" customHeight="1" x14ac:dyDescent="0.25">
      <c r="A21" s="22" t="s">
        <v>641</v>
      </c>
      <c r="B21" s="22" t="s">
        <v>646</v>
      </c>
      <c r="C21" s="23" t="s">
        <v>519</v>
      </c>
      <c r="D21" s="24" t="s">
        <v>647</v>
      </c>
      <c r="E21" s="25" t="s">
        <v>648</v>
      </c>
      <c r="F21" s="24" t="s">
        <v>649</v>
      </c>
      <c r="G21" s="23" t="s">
        <v>581</v>
      </c>
    </row>
    <row r="22" spans="1:7" ht="138" customHeight="1" x14ac:dyDescent="0.25">
      <c r="A22" s="22" t="s">
        <v>641</v>
      </c>
      <c r="B22" s="22" t="s">
        <v>650</v>
      </c>
      <c r="C22" s="23" t="s">
        <v>519</v>
      </c>
      <c r="D22" s="24" t="s">
        <v>651</v>
      </c>
      <c r="E22" s="25" t="s">
        <v>652</v>
      </c>
      <c r="F22" s="24" t="s">
        <v>653</v>
      </c>
      <c r="G22" s="23" t="s">
        <v>581</v>
      </c>
    </row>
    <row r="23" spans="1:7" ht="138" customHeight="1" x14ac:dyDescent="0.25">
      <c r="A23" s="26" t="s">
        <v>654</v>
      </c>
      <c r="B23" s="26" t="s">
        <v>655</v>
      </c>
      <c r="C23" s="27" t="s">
        <v>529</v>
      </c>
      <c r="D23" s="28" t="s">
        <v>656</v>
      </c>
      <c r="E23" s="29" t="s">
        <v>657</v>
      </c>
      <c r="F23" s="28" t="s">
        <v>658</v>
      </c>
      <c r="G23" s="27" t="s">
        <v>581</v>
      </c>
    </row>
    <row r="24" spans="1:7" ht="93" customHeight="1" x14ac:dyDescent="0.25">
      <c r="A24" s="26" t="s">
        <v>654</v>
      </c>
      <c r="B24" s="26" t="s">
        <v>659</v>
      </c>
      <c r="C24" s="27" t="s">
        <v>529</v>
      </c>
      <c r="D24" s="28" t="s">
        <v>660</v>
      </c>
      <c r="E24" s="29" t="s">
        <v>661</v>
      </c>
      <c r="F24" s="28" t="s">
        <v>662</v>
      </c>
      <c r="G24" s="27" t="s">
        <v>581</v>
      </c>
    </row>
    <row r="25" spans="1:7" ht="123" customHeight="1" x14ac:dyDescent="0.25">
      <c r="A25" s="22" t="s">
        <v>663</v>
      </c>
      <c r="B25" s="22" t="s">
        <v>664</v>
      </c>
      <c r="C25" s="23" t="s">
        <v>548</v>
      </c>
      <c r="D25" s="24" t="s">
        <v>665</v>
      </c>
      <c r="E25" s="25" t="s">
        <v>666</v>
      </c>
      <c r="F25" s="24" t="s">
        <v>667</v>
      </c>
      <c r="G25" s="23" t="s">
        <v>581</v>
      </c>
    </row>
    <row r="26" spans="1:7" ht="123" customHeight="1" x14ac:dyDescent="0.25">
      <c r="A26" s="22" t="s">
        <v>663</v>
      </c>
      <c r="B26" s="22" t="s">
        <v>668</v>
      </c>
      <c r="C26" s="23" t="s">
        <v>548</v>
      </c>
      <c r="D26" s="24" t="s">
        <v>669</v>
      </c>
      <c r="E26" s="25" t="s">
        <v>670</v>
      </c>
      <c r="F26" s="24" t="s">
        <v>671</v>
      </c>
      <c r="G26" s="23" t="s">
        <v>581</v>
      </c>
    </row>
    <row r="27" spans="1:7" ht="153" customHeight="1" x14ac:dyDescent="0.25">
      <c r="A27" s="22" t="s">
        <v>663</v>
      </c>
      <c r="B27" s="22" t="s">
        <v>672</v>
      </c>
      <c r="C27" s="23" t="s">
        <v>673</v>
      </c>
      <c r="D27" s="24" t="s">
        <v>674</v>
      </c>
      <c r="E27" s="25" t="s">
        <v>675</v>
      </c>
      <c r="F27" s="24" t="s">
        <v>676</v>
      </c>
      <c r="G27" s="23" t="s">
        <v>581</v>
      </c>
    </row>
    <row r="28" spans="1:7" ht="153" customHeight="1" x14ac:dyDescent="0.25">
      <c r="A28" s="22" t="s">
        <v>663</v>
      </c>
      <c r="B28" s="22" t="s">
        <v>677</v>
      </c>
      <c r="C28" s="23" t="s">
        <v>548</v>
      </c>
      <c r="D28" s="24" t="s">
        <v>678</v>
      </c>
      <c r="E28" s="25" t="s">
        <v>679</v>
      </c>
      <c r="F28" s="24" t="s">
        <v>680</v>
      </c>
      <c r="G28" s="23" t="s">
        <v>581</v>
      </c>
    </row>
  </sheetData>
  <mergeCells count="2">
    <mergeCell ref="A1:G1"/>
    <mergeCell ref="A2:G2"/>
  </mergeCells>
  <conditionalFormatting sqref="G5:G28">
    <cfRule type="expression" dxfId="2" priority="2">
      <formula>G5="Đã thuộc"</formula>
    </cfRule>
  </conditionalFormatting>
  <dataValidations count="1">
    <dataValidation type="list" allowBlank="1" sqref="G5:G28" xr:uid="{00000000-0002-0000-0300-000000000000}">
      <formula1>"Chưa,Đang ôn,Đã thuộc"</formula1>
      <formula2>0</formula2>
    </dataValidation>
  </dataValidations>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29"/>
  <sheetViews>
    <sheetView tabSelected="1" zoomScale="90" zoomScaleNormal="90" workbookViewId="0">
      <pane xSplit="2" ySplit="4" topLeftCell="C18" activePane="bottomRight" state="frozen"/>
      <selection pane="topRight" activeCell="C1" sqref="C1"/>
      <selection pane="bottomLeft" activeCell="A5" sqref="A5"/>
      <selection pane="bottomRight" activeCell="B30" sqref="B30"/>
    </sheetView>
  </sheetViews>
  <sheetFormatPr defaultColWidth="8.7109375" defaultRowHeight="15" x14ac:dyDescent="0.25"/>
  <cols>
    <col min="1" max="1" width="16" customWidth="1"/>
    <col min="2" max="2" width="22" customWidth="1"/>
    <col min="3" max="3" width="110" customWidth="1"/>
  </cols>
  <sheetData>
    <row r="1" spans="1:3" ht="21.75" customHeight="1" x14ac:dyDescent="0.3">
      <c r="A1" s="9" t="s">
        <v>681</v>
      </c>
      <c r="B1" s="9"/>
      <c r="C1" s="9"/>
    </row>
    <row r="2" spans="1:3" ht="15.75" customHeight="1" x14ac:dyDescent="0.25">
      <c r="A2" s="8" t="s">
        <v>682</v>
      </c>
      <c r="B2" s="8"/>
      <c r="C2" s="8"/>
    </row>
    <row r="4" spans="1:3" ht="19.5" customHeight="1" x14ac:dyDescent="0.25">
      <c r="A4" s="12" t="s">
        <v>683</v>
      </c>
      <c r="B4" s="12" t="s">
        <v>684</v>
      </c>
      <c r="C4" s="12" t="s">
        <v>5</v>
      </c>
    </row>
    <row r="5" spans="1:3" ht="78" customHeight="1" x14ac:dyDescent="0.25">
      <c r="A5" s="22" t="s">
        <v>685</v>
      </c>
      <c r="B5" s="22" t="s">
        <v>686</v>
      </c>
      <c r="C5" s="24" t="s">
        <v>687</v>
      </c>
    </row>
    <row r="6" spans="1:3" ht="33" customHeight="1" x14ac:dyDescent="0.25">
      <c r="A6" s="22" t="s">
        <v>685</v>
      </c>
      <c r="B6" s="22" t="s">
        <v>688</v>
      </c>
      <c r="C6" s="24" t="s">
        <v>689</v>
      </c>
    </row>
    <row r="7" spans="1:3" ht="33" customHeight="1" x14ac:dyDescent="0.25">
      <c r="A7" s="22" t="s">
        <v>685</v>
      </c>
      <c r="B7" s="22" t="s">
        <v>690</v>
      </c>
      <c r="C7" s="24" t="s">
        <v>691</v>
      </c>
    </row>
    <row r="8" spans="1:3" ht="33" customHeight="1" x14ac:dyDescent="0.25">
      <c r="A8" s="22" t="s">
        <v>685</v>
      </c>
      <c r="B8" s="22" t="s">
        <v>692</v>
      </c>
      <c r="C8" s="24" t="s">
        <v>693</v>
      </c>
    </row>
    <row r="9" spans="1:3" ht="48" customHeight="1" x14ac:dyDescent="0.25">
      <c r="A9" s="22" t="s">
        <v>685</v>
      </c>
      <c r="B9" s="22" t="s">
        <v>694</v>
      </c>
      <c r="C9" s="24" t="s">
        <v>695</v>
      </c>
    </row>
    <row r="10" spans="1:3" ht="18" customHeight="1" x14ac:dyDescent="0.25">
      <c r="A10" s="22" t="s">
        <v>685</v>
      </c>
      <c r="B10" s="22" t="s">
        <v>696</v>
      </c>
      <c r="C10" s="24" t="s">
        <v>697</v>
      </c>
    </row>
    <row r="11" spans="1:3" ht="93" customHeight="1" x14ac:dyDescent="0.25">
      <c r="A11" s="26" t="s">
        <v>698</v>
      </c>
      <c r="B11" s="26" t="s">
        <v>686</v>
      </c>
      <c r="C11" s="28" t="s">
        <v>699</v>
      </c>
    </row>
    <row r="12" spans="1:3" ht="33" customHeight="1" x14ac:dyDescent="0.25">
      <c r="A12" s="26" t="s">
        <v>698</v>
      </c>
      <c r="B12" s="26" t="s">
        <v>700</v>
      </c>
      <c r="C12" s="28" t="s">
        <v>701</v>
      </c>
    </row>
    <row r="13" spans="1:3" ht="18" customHeight="1" x14ac:dyDescent="0.25">
      <c r="A13" s="26" t="s">
        <v>698</v>
      </c>
      <c r="B13" s="26" t="s">
        <v>688</v>
      </c>
      <c r="C13" s="28" t="s">
        <v>702</v>
      </c>
    </row>
    <row r="14" spans="1:3" ht="33" customHeight="1" x14ac:dyDescent="0.25">
      <c r="A14" s="26" t="s">
        <v>698</v>
      </c>
      <c r="B14" s="26" t="s">
        <v>690</v>
      </c>
      <c r="C14" s="28" t="s">
        <v>703</v>
      </c>
    </row>
    <row r="15" spans="1:3" ht="48" customHeight="1" x14ac:dyDescent="0.25">
      <c r="A15" s="26" t="s">
        <v>698</v>
      </c>
      <c r="B15" s="26" t="s">
        <v>692</v>
      </c>
      <c r="C15" s="28" t="s">
        <v>704</v>
      </c>
    </row>
    <row r="16" spans="1:3" ht="33" customHeight="1" x14ac:dyDescent="0.25">
      <c r="A16" s="26" t="s">
        <v>698</v>
      </c>
      <c r="B16" s="26" t="s">
        <v>694</v>
      </c>
      <c r="C16" s="28" t="s">
        <v>705</v>
      </c>
    </row>
    <row r="17" spans="1:3" ht="33" customHeight="1" x14ac:dyDescent="0.25">
      <c r="A17" s="26" t="s">
        <v>698</v>
      </c>
      <c r="B17" s="26" t="s">
        <v>696</v>
      </c>
      <c r="C17" s="28" t="s">
        <v>706</v>
      </c>
    </row>
    <row r="18" spans="1:3" ht="93" customHeight="1" x14ac:dyDescent="0.25">
      <c r="A18" s="22" t="s">
        <v>707</v>
      </c>
      <c r="B18" s="22" t="s">
        <v>686</v>
      </c>
      <c r="C18" s="24" t="s">
        <v>708</v>
      </c>
    </row>
    <row r="19" spans="1:3" ht="33" customHeight="1" x14ac:dyDescent="0.25">
      <c r="A19" s="22" t="s">
        <v>707</v>
      </c>
      <c r="B19" s="22" t="s">
        <v>709</v>
      </c>
      <c r="C19" s="24" t="s">
        <v>710</v>
      </c>
    </row>
    <row r="20" spans="1:3" ht="18" customHeight="1" x14ac:dyDescent="0.25">
      <c r="A20" s="22" t="s">
        <v>707</v>
      </c>
      <c r="B20" s="22" t="s">
        <v>688</v>
      </c>
      <c r="C20" s="24" t="s">
        <v>711</v>
      </c>
    </row>
    <row r="21" spans="1:3" ht="33" customHeight="1" x14ac:dyDescent="0.25">
      <c r="A21" s="22" t="s">
        <v>707</v>
      </c>
      <c r="B21" s="22" t="s">
        <v>690</v>
      </c>
      <c r="C21" s="24" t="s">
        <v>712</v>
      </c>
    </row>
    <row r="22" spans="1:3" ht="48" customHeight="1" x14ac:dyDescent="0.25">
      <c r="A22" s="22" t="s">
        <v>707</v>
      </c>
      <c r="B22" s="22" t="s">
        <v>692</v>
      </c>
      <c r="C22" s="24" t="s">
        <v>713</v>
      </c>
    </row>
    <row r="23" spans="1:3" ht="48" customHeight="1" x14ac:dyDescent="0.25">
      <c r="A23" s="22" t="s">
        <v>707</v>
      </c>
      <c r="B23" s="22" t="s">
        <v>694</v>
      </c>
      <c r="C23" s="24" t="s">
        <v>714</v>
      </c>
    </row>
    <row r="24" spans="1:3" ht="33" customHeight="1" x14ac:dyDescent="0.25">
      <c r="A24" s="22" t="s">
        <v>707</v>
      </c>
      <c r="B24" s="22" t="s">
        <v>696</v>
      </c>
      <c r="C24" s="24" t="s">
        <v>715</v>
      </c>
    </row>
    <row r="25" spans="1:3" ht="33" customHeight="1" x14ac:dyDescent="0.25">
      <c r="A25" s="18" t="s">
        <v>716</v>
      </c>
      <c r="B25" s="18" t="s">
        <v>106</v>
      </c>
      <c r="C25" s="19" t="s">
        <v>717</v>
      </c>
    </row>
    <row r="26" spans="1:3" ht="18" customHeight="1" x14ac:dyDescent="0.25">
      <c r="A26" s="18" t="s">
        <v>716</v>
      </c>
      <c r="B26" s="18" t="s">
        <v>718</v>
      </c>
      <c r="C26" s="19" t="s">
        <v>719</v>
      </c>
    </row>
    <row r="27" spans="1:3" ht="18" customHeight="1" x14ac:dyDescent="0.25">
      <c r="A27" s="18" t="s">
        <v>716</v>
      </c>
      <c r="B27" s="18" t="s">
        <v>720</v>
      </c>
      <c r="C27" s="19" t="s">
        <v>721</v>
      </c>
    </row>
    <row r="28" spans="1:3" ht="33" customHeight="1" x14ac:dyDescent="0.25">
      <c r="A28" s="18" t="s">
        <v>716</v>
      </c>
      <c r="B28" s="18" t="s">
        <v>722</v>
      </c>
      <c r="C28" s="19" t="s">
        <v>723</v>
      </c>
    </row>
    <row r="29" spans="1:3" ht="30" x14ac:dyDescent="0.25">
      <c r="A29" s="75" t="s">
        <v>1866</v>
      </c>
      <c r="B29" s="75" t="s">
        <v>1867</v>
      </c>
    </row>
  </sheetData>
  <mergeCells count="2">
    <mergeCell ref="A1:C1"/>
    <mergeCell ref="A2:C2"/>
  </mergeCells>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6" customWidth="1"/>
    <col min="2" max="2" width="26" customWidth="1"/>
    <col min="3" max="3" width="58" customWidth="1"/>
    <col min="4" max="4" width="40" customWidth="1"/>
    <col min="5" max="5" width="34" customWidth="1"/>
    <col min="6" max="6" width="10" customWidth="1"/>
  </cols>
  <sheetData>
    <row r="1" spans="1:6" ht="21.75" customHeight="1" x14ac:dyDescent="0.3">
      <c r="A1" s="9" t="s">
        <v>724</v>
      </c>
      <c r="B1" s="9"/>
      <c r="C1" s="9"/>
      <c r="D1" s="9"/>
      <c r="E1" s="9"/>
      <c r="F1" s="9"/>
    </row>
    <row r="2" spans="1:6" ht="15.75" customHeight="1" x14ac:dyDescent="0.25">
      <c r="A2" s="8" t="s">
        <v>725</v>
      </c>
      <c r="B2" s="8"/>
      <c r="C2" s="8"/>
      <c r="D2" s="8"/>
      <c r="E2" s="8"/>
      <c r="F2" s="8"/>
    </row>
    <row r="4" spans="1:6" ht="19.5" customHeight="1" x14ac:dyDescent="0.25">
      <c r="A4" s="12" t="s">
        <v>570</v>
      </c>
      <c r="B4" s="12" t="s">
        <v>726</v>
      </c>
      <c r="C4" s="12" t="s">
        <v>727</v>
      </c>
      <c r="D4" s="12" t="s">
        <v>728</v>
      </c>
      <c r="E4" s="12" t="s">
        <v>729</v>
      </c>
      <c r="F4" s="12" t="s">
        <v>730</v>
      </c>
    </row>
    <row r="5" spans="1:6" ht="33" customHeight="1" x14ac:dyDescent="0.25">
      <c r="A5" s="26" t="s">
        <v>577</v>
      </c>
      <c r="B5" s="26" t="s">
        <v>731</v>
      </c>
      <c r="C5" s="28" t="s">
        <v>732</v>
      </c>
      <c r="D5" s="29" t="s">
        <v>733</v>
      </c>
      <c r="E5" s="28" t="s">
        <v>734</v>
      </c>
      <c r="F5" s="27"/>
    </row>
    <row r="6" spans="1:6" ht="33" customHeight="1" x14ac:dyDescent="0.25">
      <c r="A6" s="26" t="s">
        <v>577</v>
      </c>
      <c r="B6" s="26" t="s">
        <v>735</v>
      </c>
      <c r="C6" s="28" t="s">
        <v>736</v>
      </c>
      <c r="D6" s="29" t="s">
        <v>737</v>
      </c>
      <c r="E6" s="28" t="s">
        <v>738</v>
      </c>
      <c r="F6" s="27"/>
    </row>
    <row r="7" spans="1:6" ht="33" customHeight="1" x14ac:dyDescent="0.25">
      <c r="A7" s="26" t="s">
        <v>577</v>
      </c>
      <c r="B7" s="26" t="s">
        <v>739</v>
      </c>
      <c r="C7" s="28" t="s">
        <v>740</v>
      </c>
      <c r="D7" s="29" t="s">
        <v>741</v>
      </c>
      <c r="E7" s="28" t="s">
        <v>742</v>
      </c>
      <c r="F7" s="27"/>
    </row>
    <row r="8" spans="1:6" ht="33" customHeight="1" x14ac:dyDescent="0.25">
      <c r="A8" s="26" t="s">
        <v>577</v>
      </c>
      <c r="B8" s="26" t="s">
        <v>743</v>
      </c>
      <c r="C8" s="28" t="s">
        <v>744</v>
      </c>
      <c r="D8" s="29" t="s">
        <v>745</v>
      </c>
      <c r="E8" s="28" t="s">
        <v>746</v>
      </c>
      <c r="F8" s="27"/>
    </row>
    <row r="9" spans="1:6" ht="33" customHeight="1" x14ac:dyDescent="0.25">
      <c r="A9" s="26" t="s">
        <v>577</v>
      </c>
      <c r="B9" s="26" t="s">
        <v>747</v>
      </c>
      <c r="C9" s="28" t="s">
        <v>748</v>
      </c>
      <c r="D9" s="29" t="s">
        <v>749</v>
      </c>
      <c r="E9" s="28" t="s">
        <v>750</v>
      </c>
      <c r="F9" s="27"/>
    </row>
    <row r="10" spans="1:6" ht="18" customHeight="1" x14ac:dyDescent="0.25">
      <c r="A10" s="26" t="s">
        <v>577</v>
      </c>
      <c r="B10" s="26" t="s">
        <v>751</v>
      </c>
      <c r="C10" s="28" t="s">
        <v>752</v>
      </c>
      <c r="D10" s="29" t="s">
        <v>753</v>
      </c>
      <c r="E10" s="28" t="s">
        <v>742</v>
      </c>
      <c r="F10" s="27"/>
    </row>
    <row r="11" spans="1:6" ht="18" customHeight="1" x14ac:dyDescent="0.25">
      <c r="A11" s="26" t="s">
        <v>577</v>
      </c>
      <c r="B11" s="26" t="s">
        <v>754</v>
      </c>
      <c r="C11" s="28" t="s">
        <v>755</v>
      </c>
      <c r="D11" s="29" t="s">
        <v>756</v>
      </c>
      <c r="E11" s="28" t="s">
        <v>757</v>
      </c>
      <c r="F11" s="27"/>
    </row>
    <row r="12" spans="1:6" ht="18" customHeight="1" x14ac:dyDescent="0.25">
      <c r="A12" s="26" t="s">
        <v>577</v>
      </c>
      <c r="B12" s="26" t="s">
        <v>758</v>
      </c>
      <c r="C12" s="28" t="s">
        <v>759</v>
      </c>
      <c r="D12" s="29" t="s">
        <v>760</v>
      </c>
      <c r="E12" s="28" t="s">
        <v>761</v>
      </c>
      <c r="F12" s="27"/>
    </row>
    <row r="13" spans="1:6" ht="33" customHeight="1" x14ac:dyDescent="0.25">
      <c r="A13" s="22" t="s">
        <v>596</v>
      </c>
      <c r="B13" s="22" t="s">
        <v>762</v>
      </c>
      <c r="C13" s="24" t="s">
        <v>763</v>
      </c>
      <c r="D13" s="25" t="s">
        <v>764</v>
      </c>
      <c r="E13" s="24" t="s">
        <v>765</v>
      </c>
      <c r="F13" s="23"/>
    </row>
    <row r="14" spans="1:6" ht="33" customHeight="1" x14ac:dyDescent="0.25">
      <c r="A14" s="22" t="s">
        <v>596</v>
      </c>
      <c r="B14" s="22" t="s">
        <v>766</v>
      </c>
      <c r="C14" s="24" t="s">
        <v>767</v>
      </c>
      <c r="D14" s="25" t="s">
        <v>768</v>
      </c>
      <c r="E14" s="24" t="s">
        <v>769</v>
      </c>
      <c r="F14" s="23"/>
    </row>
    <row r="15" spans="1:6" ht="33" customHeight="1" x14ac:dyDescent="0.25">
      <c r="A15" s="22" t="s">
        <v>596</v>
      </c>
      <c r="B15" s="22" t="s">
        <v>770</v>
      </c>
      <c r="C15" s="24" t="s">
        <v>771</v>
      </c>
      <c r="D15" s="25" t="s">
        <v>772</v>
      </c>
      <c r="E15" s="24" t="s">
        <v>773</v>
      </c>
      <c r="F15" s="23"/>
    </row>
    <row r="16" spans="1:6" ht="18" customHeight="1" x14ac:dyDescent="0.25">
      <c r="A16" s="22" t="s">
        <v>596</v>
      </c>
      <c r="B16" s="22" t="s">
        <v>774</v>
      </c>
      <c r="C16" s="24" t="s">
        <v>775</v>
      </c>
      <c r="D16" s="25" t="s">
        <v>776</v>
      </c>
      <c r="E16" s="24" t="s">
        <v>777</v>
      </c>
      <c r="F16" s="23"/>
    </row>
    <row r="17" spans="1:6" ht="33" customHeight="1" x14ac:dyDescent="0.25">
      <c r="A17" s="22" t="s">
        <v>596</v>
      </c>
      <c r="B17" s="22" t="s">
        <v>778</v>
      </c>
      <c r="C17" s="24" t="s">
        <v>779</v>
      </c>
      <c r="D17" s="25" t="s">
        <v>780</v>
      </c>
      <c r="E17" s="24" t="s">
        <v>781</v>
      </c>
      <c r="F17" s="23"/>
    </row>
    <row r="18" spans="1:6" ht="18" customHeight="1" x14ac:dyDescent="0.25">
      <c r="A18" s="22" t="s">
        <v>596</v>
      </c>
      <c r="B18" s="22" t="s">
        <v>782</v>
      </c>
      <c r="C18" s="24" t="s">
        <v>783</v>
      </c>
      <c r="D18" s="25" t="s">
        <v>784</v>
      </c>
      <c r="E18" s="24" t="s">
        <v>781</v>
      </c>
      <c r="F18" s="23"/>
    </row>
    <row r="19" spans="1:6" ht="33" customHeight="1" x14ac:dyDescent="0.25">
      <c r="A19" s="22" t="s">
        <v>596</v>
      </c>
      <c r="B19" s="22" t="s">
        <v>785</v>
      </c>
      <c r="C19" s="24" t="s">
        <v>786</v>
      </c>
      <c r="D19" s="25" t="s">
        <v>787</v>
      </c>
      <c r="E19" s="24" t="s">
        <v>788</v>
      </c>
      <c r="F19" s="23"/>
    </row>
    <row r="20" spans="1:6" ht="33" customHeight="1" x14ac:dyDescent="0.25">
      <c r="A20" s="26" t="s">
        <v>613</v>
      </c>
      <c r="B20" s="26" t="s">
        <v>789</v>
      </c>
      <c r="C20" s="28" t="s">
        <v>790</v>
      </c>
      <c r="D20" s="29" t="s">
        <v>791</v>
      </c>
      <c r="E20" s="28" t="s">
        <v>792</v>
      </c>
      <c r="F20" s="27"/>
    </row>
    <row r="21" spans="1:6" ht="18" customHeight="1" x14ac:dyDescent="0.25">
      <c r="A21" s="26" t="s">
        <v>613</v>
      </c>
      <c r="B21" s="26" t="s">
        <v>793</v>
      </c>
      <c r="C21" s="28" t="s">
        <v>794</v>
      </c>
      <c r="D21" s="29" t="s">
        <v>795</v>
      </c>
      <c r="E21" s="28" t="s">
        <v>796</v>
      </c>
      <c r="F21" s="27"/>
    </row>
    <row r="22" spans="1:6" ht="18" customHeight="1" x14ac:dyDescent="0.25">
      <c r="A22" s="26" t="s">
        <v>613</v>
      </c>
      <c r="B22" s="26" t="s">
        <v>797</v>
      </c>
      <c r="C22" s="28" t="s">
        <v>798</v>
      </c>
      <c r="D22" s="29" t="s">
        <v>799</v>
      </c>
      <c r="E22" s="28" t="s">
        <v>800</v>
      </c>
      <c r="F22" s="27"/>
    </row>
    <row r="23" spans="1:6" ht="33" customHeight="1" x14ac:dyDescent="0.25">
      <c r="A23" s="26" t="s">
        <v>613</v>
      </c>
      <c r="B23" s="26" t="s">
        <v>801</v>
      </c>
      <c r="C23" s="28" t="s">
        <v>802</v>
      </c>
      <c r="D23" s="29" t="s">
        <v>803</v>
      </c>
      <c r="E23" s="28" t="s">
        <v>781</v>
      </c>
      <c r="F23" s="27"/>
    </row>
    <row r="24" spans="1:6" ht="18" customHeight="1" x14ac:dyDescent="0.25">
      <c r="A24" s="26" t="s">
        <v>613</v>
      </c>
      <c r="B24" s="26" t="s">
        <v>804</v>
      </c>
      <c r="C24" s="28" t="s">
        <v>805</v>
      </c>
      <c r="D24" s="29" t="s">
        <v>806</v>
      </c>
      <c r="E24" s="28" t="s">
        <v>807</v>
      </c>
      <c r="F24" s="27"/>
    </row>
    <row r="25" spans="1:6" ht="33" customHeight="1" x14ac:dyDescent="0.25">
      <c r="A25" s="26" t="s">
        <v>613</v>
      </c>
      <c r="B25" s="26" t="s">
        <v>808</v>
      </c>
      <c r="C25" s="28" t="s">
        <v>809</v>
      </c>
      <c r="D25" s="29" t="s">
        <v>810</v>
      </c>
      <c r="E25" s="28" t="s">
        <v>811</v>
      </c>
      <c r="F25" s="27"/>
    </row>
    <row r="26" spans="1:6" ht="33" customHeight="1" x14ac:dyDescent="0.25">
      <c r="A26" s="26" t="s">
        <v>613</v>
      </c>
      <c r="B26" s="26" t="s">
        <v>812</v>
      </c>
      <c r="C26" s="28" t="s">
        <v>813</v>
      </c>
      <c r="D26" s="29" t="s">
        <v>814</v>
      </c>
      <c r="E26" s="28" t="s">
        <v>815</v>
      </c>
      <c r="F26" s="27"/>
    </row>
    <row r="27" spans="1:6" ht="48" customHeight="1" x14ac:dyDescent="0.25">
      <c r="A27" s="22" t="s">
        <v>816</v>
      </c>
      <c r="B27" s="22" t="s">
        <v>817</v>
      </c>
      <c r="C27" s="24" t="s">
        <v>818</v>
      </c>
      <c r="D27" s="25" t="s">
        <v>819</v>
      </c>
      <c r="E27" s="24" t="s">
        <v>820</v>
      </c>
      <c r="F27" s="23"/>
    </row>
    <row r="28" spans="1:6" ht="33" customHeight="1" x14ac:dyDescent="0.25">
      <c r="A28" s="22" t="s">
        <v>816</v>
      </c>
      <c r="B28" s="22" t="s">
        <v>821</v>
      </c>
      <c r="C28" s="24" t="s">
        <v>822</v>
      </c>
      <c r="D28" s="25" t="s">
        <v>823</v>
      </c>
      <c r="E28" s="24" t="s">
        <v>824</v>
      </c>
      <c r="F28" s="23"/>
    </row>
    <row r="29" spans="1:6" ht="18" customHeight="1" x14ac:dyDescent="0.25">
      <c r="A29" s="22" t="s">
        <v>816</v>
      </c>
      <c r="B29" s="22" t="s">
        <v>825</v>
      </c>
      <c r="C29" s="24" t="s">
        <v>826</v>
      </c>
      <c r="D29" s="25" t="s">
        <v>827</v>
      </c>
      <c r="E29" s="24" t="s">
        <v>828</v>
      </c>
      <c r="F29" s="23"/>
    </row>
    <row r="30" spans="1:6" ht="18" customHeight="1" x14ac:dyDescent="0.25">
      <c r="A30" s="22" t="s">
        <v>816</v>
      </c>
      <c r="B30" s="22" t="s">
        <v>829</v>
      </c>
      <c r="C30" s="24" t="s">
        <v>830</v>
      </c>
      <c r="D30" s="25" t="s">
        <v>831</v>
      </c>
      <c r="E30" s="24" t="s">
        <v>832</v>
      </c>
      <c r="F30" s="23"/>
    </row>
    <row r="31" spans="1:6" ht="18" customHeight="1" x14ac:dyDescent="0.25">
      <c r="A31" s="22" t="s">
        <v>816</v>
      </c>
      <c r="B31" s="22" t="s">
        <v>833</v>
      </c>
      <c r="C31" s="24" t="s">
        <v>834</v>
      </c>
      <c r="D31" s="25"/>
      <c r="E31" s="24" t="s">
        <v>835</v>
      </c>
      <c r="F31" s="23"/>
    </row>
    <row r="32" spans="1:6" ht="18" customHeight="1" x14ac:dyDescent="0.25">
      <c r="A32" s="26" t="s">
        <v>641</v>
      </c>
      <c r="B32" s="26" t="s">
        <v>836</v>
      </c>
      <c r="C32" s="28" t="s">
        <v>837</v>
      </c>
      <c r="D32" s="29" t="s">
        <v>838</v>
      </c>
      <c r="E32" s="28" t="s">
        <v>839</v>
      </c>
      <c r="F32" s="27"/>
    </row>
    <row r="33" spans="1:6" ht="33" customHeight="1" x14ac:dyDescent="0.25">
      <c r="A33" s="26" t="s">
        <v>641</v>
      </c>
      <c r="B33" s="26" t="s">
        <v>840</v>
      </c>
      <c r="C33" s="28" t="s">
        <v>841</v>
      </c>
      <c r="D33" s="29" t="s">
        <v>842</v>
      </c>
      <c r="E33" s="28" t="s">
        <v>843</v>
      </c>
      <c r="F33" s="27"/>
    </row>
    <row r="34" spans="1:6" ht="18" customHeight="1" x14ac:dyDescent="0.25">
      <c r="A34" s="26" t="s">
        <v>641</v>
      </c>
      <c r="B34" s="26" t="s">
        <v>844</v>
      </c>
      <c r="C34" s="28" t="s">
        <v>845</v>
      </c>
      <c r="D34" s="29" t="s">
        <v>846</v>
      </c>
      <c r="E34" s="28" t="s">
        <v>847</v>
      </c>
      <c r="F34" s="27"/>
    </row>
    <row r="35" spans="1:6" ht="18" customHeight="1" x14ac:dyDescent="0.25">
      <c r="A35" s="26" t="s">
        <v>641</v>
      </c>
      <c r="B35" s="26" t="s">
        <v>848</v>
      </c>
      <c r="C35" s="28" t="s">
        <v>849</v>
      </c>
      <c r="D35" s="29" t="s">
        <v>850</v>
      </c>
      <c r="E35" s="28" t="s">
        <v>851</v>
      </c>
      <c r="F35" s="27"/>
    </row>
    <row r="36" spans="1:6" ht="18" customHeight="1" x14ac:dyDescent="0.25">
      <c r="A36" s="26" t="s">
        <v>641</v>
      </c>
      <c r="B36" s="26" t="s">
        <v>852</v>
      </c>
      <c r="C36" s="28" t="s">
        <v>853</v>
      </c>
      <c r="D36" s="29" t="s">
        <v>854</v>
      </c>
      <c r="E36" s="28" t="s">
        <v>855</v>
      </c>
      <c r="F36" s="27"/>
    </row>
    <row r="37" spans="1:6" ht="18" customHeight="1" x14ac:dyDescent="0.25">
      <c r="A37" s="26" t="s">
        <v>641</v>
      </c>
      <c r="B37" s="26" t="s">
        <v>856</v>
      </c>
      <c r="C37" s="28" t="s">
        <v>857</v>
      </c>
      <c r="D37" s="29" t="s">
        <v>858</v>
      </c>
      <c r="E37" s="28" t="s">
        <v>859</v>
      </c>
      <c r="F37" s="27"/>
    </row>
    <row r="38" spans="1:6" ht="33" customHeight="1" x14ac:dyDescent="0.25">
      <c r="A38" s="22" t="s">
        <v>654</v>
      </c>
      <c r="B38" s="22" t="s">
        <v>860</v>
      </c>
      <c r="C38" s="24" t="s">
        <v>861</v>
      </c>
      <c r="D38" s="25" t="s">
        <v>862</v>
      </c>
      <c r="E38" s="24" t="s">
        <v>863</v>
      </c>
      <c r="F38" s="23"/>
    </row>
    <row r="39" spans="1:6" ht="33" customHeight="1" x14ac:dyDescent="0.25">
      <c r="A39" s="26" t="s">
        <v>663</v>
      </c>
      <c r="B39" s="26" t="s">
        <v>864</v>
      </c>
      <c r="C39" s="28" t="s">
        <v>865</v>
      </c>
      <c r="D39" s="29" t="s">
        <v>866</v>
      </c>
      <c r="E39" s="28" t="s">
        <v>867</v>
      </c>
      <c r="F39" s="27"/>
    </row>
    <row r="40" spans="1:6" ht="33" customHeight="1" x14ac:dyDescent="0.25">
      <c r="A40" s="26" t="s">
        <v>663</v>
      </c>
      <c r="B40" s="26" t="s">
        <v>868</v>
      </c>
      <c r="C40" s="28" t="s">
        <v>869</v>
      </c>
      <c r="D40" s="29" t="s">
        <v>870</v>
      </c>
      <c r="E40" s="28" t="s">
        <v>871</v>
      </c>
      <c r="F40" s="27"/>
    </row>
    <row r="41" spans="1:6" ht="18" customHeight="1" x14ac:dyDescent="0.25">
      <c r="A41" s="26" t="s">
        <v>663</v>
      </c>
      <c r="B41" s="26" t="s">
        <v>872</v>
      </c>
      <c r="C41" s="28" t="s">
        <v>873</v>
      </c>
      <c r="D41" s="29" t="s">
        <v>874</v>
      </c>
      <c r="E41" s="28" t="s">
        <v>875</v>
      </c>
      <c r="F41" s="27"/>
    </row>
    <row r="42" spans="1:6" ht="33" customHeight="1" x14ac:dyDescent="0.25">
      <c r="A42" s="26" t="s">
        <v>663</v>
      </c>
      <c r="B42" s="26" t="s">
        <v>876</v>
      </c>
      <c r="C42" s="28" t="s">
        <v>877</v>
      </c>
      <c r="D42" s="29" t="s">
        <v>878</v>
      </c>
      <c r="E42" s="28" t="s">
        <v>832</v>
      </c>
      <c r="F42" s="27"/>
    </row>
    <row r="43" spans="1:6" ht="33" customHeight="1" x14ac:dyDescent="0.25">
      <c r="A43" s="26" t="s">
        <v>663</v>
      </c>
      <c r="B43" s="26" t="s">
        <v>879</v>
      </c>
      <c r="C43" s="28" t="s">
        <v>880</v>
      </c>
      <c r="D43" s="29" t="s">
        <v>881</v>
      </c>
      <c r="E43" s="28" t="s">
        <v>882</v>
      </c>
      <c r="F43" s="27"/>
    </row>
  </sheetData>
  <mergeCells count="2">
    <mergeCell ref="A1:F1"/>
    <mergeCell ref="A2:F2"/>
  </mergeCells>
  <dataValidations count="1">
    <dataValidation type="list" allowBlank="1" sqref="F5:F43" xr:uid="{00000000-0002-0000-0500-000000000000}">
      <formula1>"✓"</formula1>
      <formula2>0</formula2>
    </dataValidation>
  </dataValidations>
  <pageMargins left="0.4" right="0.4" top="0.5" bottom="0.5"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36"/>
  <sheetViews>
    <sheetView zoomScale="90" zoomScaleNormal="90" workbookViewId="0">
      <pane xSplit="2" ySplit="4" topLeftCell="C5" activePane="bottomRight" state="frozen"/>
      <selection pane="topRight" activeCell="C1" sqref="C1"/>
      <selection pane="bottomLeft" activeCell="A5" sqref="A5"/>
      <selection pane="bottomRight" sqref="A1:G1"/>
    </sheetView>
  </sheetViews>
  <sheetFormatPr defaultColWidth="8.7109375" defaultRowHeight="15" x14ac:dyDescent="0.25"/>
  <cols>
    <col min="1" max="1" width="11" customWidth="1"/>
    <col min="2" max="3" width="24" customWidth="1"/>
    <col min="4" max="4" width="11" customWidth="1"/>
    <col min="5" max="5" width="62" customWidth="1"/>
    <col min="6" max="6" width="24" customWidth="1"/>
    <col min="7" max="7" width="36" customWidth="1"/>
  </cols>
  <sheetData>
    <row r="1" spans="1:7" ht="21.75" customHeight="1" x14ac:dyDescent="0.3">
      <c r="A1" s="9" t="s">
        <v>883</v>
      </c>
      <c r="B1" s="9"/>
      <c r="C1" s="9"/>
      <c r="D1" s="9"/>
      <c r="E1" s="9"/>
      <c r="F1" s="9"/>
      <c r="G1" s="9"/>
    </row>
    <row r="2" spans="1:7" ht="15.75" customHeight="1" x14ac:dyDescent="0.25">
      <c r="A2" s="8" t="s">
        <v>884</v>
      </c>
      <c r="B2" s="8"/>
      <c r="C2" s="8"/>
      <c r="D2" s="8"/>
      <c r="E2" s="8"/>
      <c r="F2" s="8"/>
      <c r="G2" s="8"/>
    </row>
    <row r="4" spans="1:7" ht="19.5" customHeight="1" x14ac:dyDescent="0.25">
      <c r="A4" s="12" t="s">
        <v>885</v>
      </c>
      <c r="B4" s="12" t="s">
        <v>886</v>
      </c>
      <c r="C4" s="12" t="s">
        <v>887</v>
      </c>
      <c r="D4" s="12" t="s">
        <v>888</v>
      </c>
      <c r="E4" s="12" t="s">
        <v>889</v>
      </c>
      <c r="F4" s="12" t="s">
        <v>890</v>
      </c>
      <c r="G4" s="12" t="s">
        <v>891</v>
      </c>
    </row>
    <row r="5" spans="1:7" ht="33" customHeight="1" x14ac:dyDescent="0.25">
      <c r="A5" s="24" t="s">
        <v>892</v>
      </c>
      <c r="B5" s="22" t="s">
        <v>893</v>
      </c>
      <c r="C5" s="24" t="s">
        <v>894</v>
      </c>
      <c r="D5" s="23" t="s">
        <v>895</v>
      </c>
      <c r="E5" s="24" t="s">
        <v>896</v>
      </c>
      <c r="F5" s="24" t="s">
        <v>897</v>
      </c>
      <c r="G5" s="25" t="s">
        <v>898</v>
      </c>
    </row>
    <row r="6" spans="1:7" ht="33" customHeight="1" x14ac:dyDescent="0.25">
      <c r="A6" s="24" t="s">
        <v>892</v>
      </c>
      <c r="B6" s="22" t="s">
        <v>899</v>
      </c>
      <c r="C6" s="24" t="s">
        <v>900</v>
      </c>
      <c r="D6" s="23" t="s">
        <v>901</v>
      </c>
      <c r="E6" s="24" t="s">
        <v>902</v>
      </c>
      <c r="F6" s="24" t="s">
        <v>903</v>
      </c>
      <c r="G6" s="25" t="s">
        <v>904</v>
      </c>
    </row>
    <row r="7" spans="1:7" ht="33" customHeight="1" x14ac:dyDescent="0.25">
      <c r="A7" s="24" t="s">
        <v>892</v>
      </c>
      <c r="B7" s="22" t="s">
        <v>905</v>
      </c>
      <c r="C7" s="24" t="s">
        <v>906</v>
      </c>
      <c r="D7" s="23" t="s">
        <v>907</v>
      </c>
      <c r="E7" s="24" t="s">
        <v>908</v>
      </c>
      <c r="F7" s="24" t="s">
        <v>909</v>
      </c>
      <c r="G7" s="25" t="s">
        <v>910</v>
      </c>
    </row>
    <row r="8" spans="1:7" ht="18" customHeight="1" x14ac:dyDescent="0.25">
      <c r="A8" s="24" t="s">
        <v>892</v>
      </c>
      <c r="B8" s="22" t="s">
        <v>911</v>
      </c>
      <c r="C8" s="24" t="s">
        <v>912</v>
      </c>
      <c r="D8" s="23" t="s">
        <v>913</v>
      </c>
      <c r="E8" s="24" t="s">
        <v>914</v>
      </c>
      <c r="F8" s="24" t="s">
        <v>915</v>
      </c>
      <c r="G8" s="25" t="s">
        <v>916</v>
      </c>
    </row>
    <row r="9" spans="1:7" ht="18" customHeight="1" x14ac:dyDescent="0.25">
      <c r="A9" s="24" t="s">
        <v>892</v>
      </c>
      <c r="B9" s="22" t="s">
        <v>917</v>
      </c>
      <c r="C9" s="24" t="s">
        <v>918</v>
      </c>
      <c r="D9" s="23" t="s">
        <v>919</v>
      </c>
      <c r="E9" s="24" t="s">
        <v>920</v>
      </c>
      <c r="F9" s="24" t="s">
        <v>921</v>
      </c>
      <c r="G9" s="25" t="s">
        <v>922</v>
      </c>
    </row>
    <row r="10" spans="1:7" ht="48" customHeight="1" x14ac:dyDescent="0.25">
      <c r="A10" s="28" t="s">
        <v>923</v>
      </c>
      <c r="B10" s="26" t="s">
        <v>924</v>
      </c>
      <c r="C10" s="28" t="s">
        <v>925</v>
      </c>
      <c r="D10" s="27" t="s">
        <v>913</v>
      </c>
      <c r="E10" s="28" t="s">
        <v>926</v>
      </c>
      <c r="F10" s="28" t="s">
        <v>927</v>
      </c>
      <c r="G10" s="29" t="s">
        <v>928</v>
      </c>
    </row>
    <row r="11" spans="1:7" ht="33" customHeight="1" x14ac:dyDescent="0.25">
      <c r="A11" s="28" t="s">
        <v>923</v>
      </c>
      <c r="B11" s="26" t="s">
        <v>929</v>
      </c>
      <c r="C11" s="28" t="s">
        <v>930</v>
      </c>
      <c r="D11" s="27" t="s">
        <v>931</v>
      </c>
      <c r="E11" s="28" t="s">
        <v>932</v>
      </c>
      <c r="F11" s="28" t="s">
        <v>933</v>
      </c>
      <c r="G11" s="29" t="s">
        <v>934</v>
      </c>
    </row>
    <row r="12" spans="1:7" ht="33" customHeight="1" x14ac:dyDescent="0.25">
      <c r="A12" s="28" t="s">
        <v>923</v>
      </c>
      <c r="B12" s="26" t="s">
        <v>935</v>
      </c>
      <c r="C12" s="28" t="s">
        <v>936</v>
      </c>
      <c r="D12" s="27" t="s">
        <v>937</v>
      </c>
      <c r="E12" s="28" t="s">
        <v>938</v>
      </c>
      <c r="F12" s="28" t="s">
        <v>939</v>
      </c>
      <c r="G12" s="29" t="s">
        <v>940</v>
      </c>
    </row>
    <row r="13" spans="1:7" ht="33" customHeight="1" x14ac:dyDescent="0.25">
      <c r="A13" s="28" t="s">
        <v>923</v>
      </c>
      <c r="B13" s="26" t="s">
        <v>941</v>
      </c>
      <c r="C13" s="28" t="s">
        <v>942</v>
      </c>
      <c r="D13" s="27" t="s">
        <v>943</v>
      </c>
      <c r="E13" s="28" t="s">
        <v>944</v>
      </c>
      <c r="F13" s="28" t="s">
        <v>945</v>
      </c>
      <c r="G13" s="29" t="s">
        <v>946</v>
      </c>
    </row>
    <row r="14" spans="1:7" ht="18" customHeight="1" x14ac:dyDescent="0.25">
      <c r="A14" s="28" t="s">
        <v>923</v>
      </c>
      <c r="B14" s="26" t="s">
        <v>947</v>
      </c>
      <c r="C14" s="28" t="s">
        <v>948</v>
      </c>
      <c r="D14" s="27" t="s">
        <v>949</v>
      </c>
      <c r="E14" s="28" t="s">
        <v>950</v>
      </c>
      <c r="F14" s="28" t="s">
        <v>951</v>
      </c>
      <c r="G14" s="29" t="s">
        <v>952</v>
      </c>
    </row>
    <row r="15" spans="1:7" ht="33" customHeight="1" x14ac:dyDescent="0.25">
      <c r="A15" s="28" t="s">
        <v>923</v>
      </c>
      <c r="B15" s="26" t="s">
        <v>953</v>
      </c>
      <c r="C15" s="28" t="s">
        <v>954</v>
      </c>
      <c r="D15" s="27" t="s">
        <v>955</v>
      </c>
      <c r="E15" s="28" t="s">
        <v>956</v>
      </c>
      <c r="F15" s="28" t="s">
        <v>957</v>
      </c>
      <c r="G15" s="29" t="s">
        <v>958</v>
      </c>
    </row>
    <row r="16" spans="1:7" ht="18" customHeight="1" x14ac:dyDescent="0.25">
      <c r="A16" s="28" t="s">
        <v>923</v>
      </c>
      <c r="B16" s="26" t="s">
        <v>959</v>
      </c>
      <c r="C16" s="28" t="s">
        <v>960</v>
      </c>
      <c r="D16" s="27" t="s">
        <v>913</v>
      </c>
      <c r="E16" s="28" t="s">
        <v>961</v>
      </c>
      <c r="F16" s="28" t="s">
        <v>962</v>
      </c>
      <c r="G16" s="29" t="s">
        <v>963</v>
      </c>
    </row>
    <row r="17" spans="1:7" ht="33" customHeight="1" x14ac:dyDescent="0.25">
      <c r="A17" s="28" t="s">
        <v>923</v>
      </c>
      <c r="B17" s="26" t="s">
        <v>964</v>
      </c>
      <c r="C17" s="28" t="s">
        <v>965</v>
      </c>
      <c r="D17" s="27" t="s">
        <v>966</v>
      </c>
      <c r="E17" s="28" t="s">
        <v>967</v>
      </c>
      <c r="F17" s="28" t="s">
        <v>968</v>
      </c>
      <c r="G17" s="29" t="s">
        <v>969</v>
      </c>
    </row>
    <row r="18" spans="1:7" ht="63" customHeight="1" x14ac:dyDescent="0.25">
      <c r="A18" s="24" t="s">
        <v>970</v>
      </c>
      <c r="B18" s="22" t="s">
        <v>971</v>
      </c>
      <c r="C18" s="24" t="s">
        <v>972</v>
      </c>
      <c r="D18" s="23" t="s">
        <v>973</v>
      </c>
      <c r="E18" s="24" t="s">
        <v>974</v>
      </c>
      <c r="F18" s="24" t="s">
        <v>975</v>
      </c>
      <c r="G18" s="25" t="s">
        <v>976</v>
      </c>
    </row>
    <row r="19" spans="1:7" ht="33" customHeight="1" x14ac:dyDescent="0.25">
      <c r="A19" s="24" t="s">
        <v>970</v>
      </c>
      <c r="B19" s="22" t="s">
        <v>977</v>
      </c>
      <c r="C19" s="24" t="s">
        <v>978</v>
      </c>
      <c r="D19" s="23" t="s">
        <v>979</v>
      </c>
      <c r="E19" s="24" t="s">
        <v>980</v>
      </c>
      <c r="F19" s="24" t="s">
        <v>981</v>
      </c>
      <c r="G19" s="25" t="s">
        <v>982</v>
      </c>
    </row>
    <row r="20" spans="1:7" ht="18" customHeight="1" x14ac:dyDescent="0.25">
      <c r="A20" s="24" t="s">
        <v>970</v>
      </c>
      <c r="B20" s="22" t="s">
        <v>983</v>
      </c>
      <c r="C20" s="24" t="s">
        <v>984</v>
      </c>
      <c r="D20" s="23" t="s">
        <v>985</v>
      </c>
      <c r="E20" s="24" t="s">
        <v>986</v>
      </c>
      <c r="F20" s="24" t="s">
        <v>987</v>
      </c>
      <c r="G20" s="25" t="s">
        <v>988</v>
      </c>
    </row>
    <row r="21" spans="1:7" ht="33" customHeight="1" x14ac:dyDescent="0.25">
      <c r="A21" s="24" t="s">
        <v>970</v>
      </c>
      <c r="B21" s="22" t="s">
        <v>989</v>
      </c>
      <c r="C21" s="24" t="s">
        <v>990</v>
      </c>
      <c r="D21" s="23" t="s">
        <v>991</v>
      </c>
      <c r="E21" s="24" t="s">
        <v>992</v>
      </c>
      <c r="F21" s="24" t="s">
        <v>993</v>
      </c>
      <c r="G21" s="25" t="s">
        <v>994</v>
      </c>
    </row>
    <row r="22" spans="1:7" ht="18" customHeight="1" x14ac:dyDescent="0.25">
      <c r="A22" s="24" t="s">
        <v>970</v>
      </c>
      <c r="B22" s="22" t="s">
        <v>856</v>
      </c>
      <c r="C22" s="24" t="s">
        <v>995</v>
      </c>
      <c r="D22" s="23" t="s">
        <v>996</v>
      </c>
      <c r="E22" s="24" t="s">
        <v>997</v>
      </c>
      <c r="F22" s="24" t="s">
        <v>998</v>
      </c>
      <c r="G22" s="25" t="s">
        <v>999</v>
      </c>
    </row>
    <row r="23" spans="1:7" ht="33" customHeight="1" x14ac:dyDescent="0.25">
      <c r="A23" s="19" t="s">
        <v>1000</v>
      </c>
      <c r="B23" s="18" t="s">
        <v>1001</v>
      </c>
      <c r="C23" s="19" t="s">
        <v>1002</v>
      </c>
      <c r="D23" s="30" t="s">
        <v>1003</v>
      </c>
      <c r="E23" s="19" t="s">
        <v>1004</v>
      </c>
      <c r="F23" s="19" t="s">
        <v>1005</v>
      </c>
      <c r="G23" s="31" t="s">
        <v>1006</v>
      </c>
    </row>
    <row r="24" spans="1:7" ht="18" customHeight="1" x14ac:dyDescent="0.25">
      <c r="A24" s="19" t="s">
        <v>1000</v>
      </c>
      <c r="B24" s="18" t="s">
        <v>1007</v>
      </c>
      <c r="C24" s="19" t="s">
        <v>1008</v>
      </c>
      <c r="D24" s="30" t="s">
        <v>1009</v>
      </c>
      <c r="E24" s="19" t="s">
        <v>1010</v>
      </c>
      <c r="F24" s="19" t="s">
        <v>1011</v>
      </c>
      <c r="G24" s="31" t="s">
        <v>1012</v>
      </c>
    </row>
    <row r="25" spans="1:7" ht="18" customHeight="1" x14ac:dyDescent="0.25">
      <c r="A25" s="19" t="s">
        <v>1000</v>
      </c>
      <c r="B25" s="18" t="s">
        <v>1013</v>
      </c>
      <c r="C25" s="19" t="s">
        <v>685</v>
      </c>
      <c r="D25" s="30" t="s">
        <v>1014</v>
      </c>
      <c r="E25" s="19" t="s">
        <v>1015</v>
      </c>
      <c r="F25" s="19" t="s">
        <v>1016</v>
      </c>
      <c r="G25" s="31"/>
    </row>
    <row r="26" spans="1:7" ht="18" customHeight="1" x14ac:dyDescent="0.25">
      <c r="A26" s="19" t="s">
        <v>1000</v>
      </c>
      <c r="B26" s="18" t="s">
        <v>1017</v>
      </c>
      <c r="C26" s="19" t="s">
        <v>1018</v>
      </c>
      <c r="D26" s="30" t="s">
        <v>1019</v>
      </c>
      <c r="E26" s="19" t="s">
        <v>1020</v>
      </c>
      <c r="F26" s="19" t="s">
        <v>1021</v>
      </c>
      <c r="G26" s="31" t="s">
        <v>1022</v>
      </c>
    </row>
    <row r="27" spans="1:7" ht="18" customHeight="1" x14ac:dyDescent="0.25">
      <c r="A27" s="32" t="s">
        <v>1023</v>
      </c>
      <c r="B27" s="33" t="s">
        <v>1024</v>
      </c>
      <c r="C27" s="32" t="s">
        <v>1025</v>
      </c>
      <c r="D27" s="34" t="s">
        <v>1026</v>
      </c>
      <c r="E27" s="32" t="s">
        <v>1027</v>
      </c>
      <c r="F27" s="32" t="s">
        <v>1028</v>
      </c>
      <c r="G27" s="35" t="s">
        <v>1029</v>
      </c>
    </row>
    <row r="28" spans="1:7" ht="18" customHeight="1" x14ac:dyDescent="0.25">
      <c r="A28" s="32" t="s">
        <v>1023</v>
      </c>
      <c r="B28" s="33" t="s">
        <v>1030</v>
      </c>
      <c r="C28" s="32" t="s">
        <v>1031</v>
      </c>
      <c r="D28" s="34" t="s">
        <v>1026</v>
      </c>
      <c r="E28" s="32" t="s">
        <v>1032</v>
      </c>
      <c r="F28" s="32" t="s">
        <v>1033</v>
      </c>
      <c r="G28" s="35" t="s">
        <v>1034</v>
      </c>
    </row>
    <row r="29" spans="1:7" ht="18" customHeight="1" x14ac:dyDescent="0.25">
      <c r="A29" s="32" t="s">
        <v>1023</v>
      </c>
      <c r="B29" s="33" t="s">
        <v>1035</v>
      </c>
      <c r="C29" s="32" t="s">
        <v>1036</v>
      </c>
      <c r="D29" s="34" t="s">
        <v>1037</v>
      </c>
      <c r="E29" s="32" t="s">
        <v>1038</v>
      </c>
      <c r="F29" s="32" t="s">
        <v>1039</v>
      </c>
      <c r="G29" s="35" t="s">
        <v>1040</v>
      </c>
    </row>
    <row r="30" spans="1:7" ht="33" customHeight="1" x14ac:dyDescent="0.25">
      <c r="A30" s="32" t="s">
        <v>1023</v>
      </c>
      <c r="B30" s="33" t="s">
        <v>1041</v>
      </c>
      <c r="C30" s="32" t="s">
        <v>1042</v>
      </c>
      <c r="D30" s="34" t="s">
        <v>1003</v>
      </c>
      <c r="E30" s="32" t="s">
        <v>1043</v>
      </c>
      <c r="F30" s="32" t="s">
        <v>1044</v>
      </c>
      <c r="G30" s="35" t="s">
        <v>1045</v>
      </c>
    </row>
    <row r="31" spans="1:7" ht="18" customHeight="1" x14ac:dyDescent="0.25">
      <c r="A31" s="32" t="s">
        <v>1023</v>
      </c>
      <c r="B31" s="33" t="s">
        <v>1046</v>
      </c>
      <c r="C31" s="32" t="s">
        <v>1047</v>
      </c>
      <c r="D31" s="34" t="s">
        <v>1003</v>
      </c>
      <c r="E31" s="32" t="s">
        <v>1048</v>
      </c>
      <c r="F31" s="32" t="s">
        <v>1049</v>
      </c>
      <c r="G31" s="35" t="s">
        <v>1050</v>
      </c>
    </row>
    <row r="32" spans="1:7" ht="18" customHeight="1" x14ac:dyDescent="0.25">
      <c r="A32" s="32" t="s">
        <v>1023</v>
      </c>
      <c r="B32" s="33" t="s">
        <v>1051</v>
      </c>
      <c r="C32" s="32" t="s">
        <v>1052</v>
      </c>
      <c r="D32" s="34" t="s">
        <v>1053</v>
      </c>
      <c r="E32" s="32" t="s">
        <v>1054</v>
      </c>
      <c r="F32" s="32" t="s">
        <v>1055</v>
      </c>
      <c r="G32" s="35"/>
    </row>
    <row r="33" spans="1:7" ht="33" customHeight="1" x14ac:dyDescent="0.25">
      <c r="A33" s="32" t="s">
        <v>1023</v>
      </c>
      <c r="B33" s="33" t="s">
        <v>1056</v>
      </c>
      <c r="C33" s="32"/>
      <c r="D33" s="34"/>
      <c r="E33" s="32" t="s">
        <v>1057</v>
      </c>
      <c r="F33" s="32"/>
      <c r="G33" s="35"/>
    </row>
    <row r="34" spans="1:7" ht="33" customHeight="1" x14ac:dyDescent="0.25">
      <c r="A34" s="19" t="s">
        <v>1058</v>
      </c>
      <c r="B34" s="18" t="s">
        <v>1059</v>
      </c>
      <c r="C34" s="19" t="s">
        <v>1060</v>
      </c>
      <c r="D34" s="30" t="s">
        <v>1061</v>
      </c>
      <c r="E34" s="19" t="s">
        <v>1062</v>
      </c>
      <c r="F34" s="19" t="s">
        <v>1063</v>
      </c>
      <c r="G34" s="31" t="s">
        <v>1064</v>
      </c>
    </row>
    <row r="35" spans="1:7" ht="18" customHeight="1" x14ac:dyDescent="0.25">
      <c r="A35" s="19" t="s">
        <v>1058</v>
      </c>
      <c r="B35" s="18" t="s">
        <v>1065</v>
      </c>
      <c r="C35" s="19" t="s">
        <v>1066</v>
      </c>
      <c r="D35" s="30" t="s">
        <v>1067</v>
      </c>
      <c r="E35" s="19" t="s">
        <v>1068</v>
      </c>
      <c r="F35" s="19" t="s">
        <v>1069</v>
      </c>
      <c r="G35" s="31" t="s">
        <v>1070</v>
      </c>
    </row>
    <row r="36" spans="1:7" ht="33" customHeight="1" x14ac:dyDescent="0.25">
      <c r="A36" s="19" t="s">
        <v>1058</v>
      </c>
      <c r="B36" s="18" t="s">
        <v>1071</v>
      </c>
      <c r="C36" s="19"/>
      <c r="D36" s="30"/>
      <c r="E36" s="19" t="s">
        <v>1072</v>
      </c>
      <c r="F36" s="19"/>
      <c r="G36" s="31"/>
    </row>
  </sheetData>
  <mergeCells count="2">
    <mergeCell ref="A1:G1"/>
    <mergeCell ref="A2:G2"/>
  </mergeCells>
  <pageMargins left="0.4" right="0.4" top="0.5" bottom="0.5"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62"/>
  <sheetViews>
    <sheetView zoomScale="90" zoomScaleNormal="90" workbookViewId="0">
      <pane xSplit="2" ySplit="4" topLeftCell="C5" activePane="bottomRight" state="frozen"/>
      <selection pane="topRight" activeCell="C1" sqref="C1"/>
      <selection pane="bottomLeft" activeCell="A5" sqref="A5"/>
      <selection pane="bottomRight" sqref="A1:E1"/>
    </sheetView>
  </sheetViews>
  <sheetFormatPr defaultColWidth="8.7109375" defaultRowHeight="15" x14ac:dyDescent="0.25"/>
  <cols>
    <col min="1" max="1" width="13" customWidth="1"/>
    <col min="2" max="2" width="30" customWidth="1"/>
    <col min="3" max="3" width="70" customWidth="1"/>
    <col min="4" max="4" width="40" customWidth="1"/>
    <col min="5" max="5" width="9" customWidth="1"/>
  </cols>
  <sheetData>
    <row r="1" spans="1:5" ht="21.75" customHeight="1" x14ac:dyDescent="0.3">
      <c r="A1" s="9" t="s">
        <v>1073</v>
      </c>
      <c r="B1" s="9"/>
      <c r="C1" s="9"/>
      <c r="D1" s="9"/>
      <c r="E1" s="9"/>
    </row>
    <row r="2" spans="1:5" ht="15.75" customHeight="1" x14ac:dyDescent="0.25">
      <c r="A2" s="8" t="s">
        <v>1074</v>
      </c>
      <c r="B2" s="8"/>
      <c r="C2" s="8"/>
      <c r="D2" s="8"/>
      <c r="E2" s="8"/>
    </row>
    <row r="4" spans="1:5" ht="19.5" customHeight="1" x14ac:dyDescent="0.25">
      <c r="A4" s="12" t="s">
        <v>885</v>
      </c>
      <c r="B4" s="12" t="s">
        <v>1075</v>
      </c>
      <c r="C4" s="12" t="s">
        <v>1076</v>
      </c>
      <c r="D4" s="12" t="s">
        <v>9</v>
      </c>
      <c r="E4" s="12" t="s">
        <v>1077</v>
      </c>
    </row>
    <row r="5" spans="1:5" ht="33" customHeight="1" x14ac:dyDescent="0.25">
      <c r="A5" s="26" t="s">
        <v>1078</v>
      </c>
      <c r="B5" s="28" t="s">
        <v>1079</v>
      </c>
      <c r="C5" s="36" t="s">
        <v>1080</v>
      </c>
      <c r="D5" s="28" t="s">
        <v>1081</v>
      </c>
      <c r="E5" s="27"/>
    </row>
    <row r="6" spans="1:5" ht="18" customHeight="1" x14ac:dyDescent="0.25">
      <c r="A6" s="26" t="s">
        <v>1078</v>
      </c>
      <c r="B6" s="28" t="s">
        <v>1082</v>
      </c>
      <c r="C6" s="36" t="s">
        <v>1083</v>
      </c>
      <c r="D6" s="28"/>
      <c r="E6" s="27"/>
    </row>
    <row r="7" spans="1:5" ht="18" customHeight="1" x14ac:dyDescent="0.25">
      <c r="A7" s="26" t="s">
        <v>1078</v>
      </c>
      <c r="B7" s="28" t="s">
        <v>1084</v>
      </c>
      <c r="C7" s="36" t="s">
        <v>1085</v>
      </c>
      <c r="D7" s="28"/>
      <c r="E7" s="27"/>
    </row>
    <row r="8" spans="1:5" ht="18" customHeight="1" x14ac:dyDescent="0.25">
      <c r="A8" s="26" t="s">
        <v>1078</v>
      </c>
      <c r="B8" s="28" t="s">
        <v>1086</v>
      </c>
      <c r="C8" s="36" t="s">
        <v>1087</v>
      </c>
      <c r="D8" s="28"/>
      <c r="E8" s="27"/>
    </row>
    <row r="9" spans="1:5" ht="18" customHeight="1" x14ac:dyDescent="0.25">
      <c r="A9" s="26" t="s">
        <v>1078</v>
      </c>
      <c r="B9" s="28" t="s">
        <v>1088</v>
      </c>
      <c r="C9" s="36" t="s">
        <v>1089</v>
      </c>
      <c r="D9" s="28" t="s">
        <v>1090</v>
      </c>
      <c r="E9" s="27"/>
    </row>
    <row r="10" spans="1:5" ht="18" customHeight="1" x14ac:dyDescent="0.25">
      <c r="A10" s="26" t="s">
        <v>1078</v>
      </c>
      <c r="B10" s="28" t="s">
        <v>1091</v>
      </c>
      <c r="C10" s="36" t="s">
        <v>1092</v>
      </c>
      <c r="D10" s="28"/>
      <c r="E10" s="27"/>
    </row>
    <row r="11" spans="1:5" ht="18" customHeight="1" x14ac:dyDescent="0.25">
      <c r="A11" s="26" t="s">
        <v>1078</v>
      </c>
      <c r="B11" s="28" t="s">
        <v>1093</v>
      </c>
      <c r="C11" s="36" t="s">
        <v>1094</v>
      </c>
      <c r="D11" s="28"/>
      <c r="E11" s="27"/>
    </row>
    <row r="12" spans="1:5" ht="18" customHeight="1" x14ac:dyDescent="0.25">
      <c r="A12" s="26" t="s">
        <v>1078</v>
      </c>
      <c r="B12" s="28" t="s">
        <v>1095</v>
      </c>
      <c r="C12" s="36" t="s">
        <v>1096</v>
      </c>
      <c r="D12" s="28" t="s">
        <v>1097</v>
      </c>
      <c r="E12" s="27"/>
    </row>
    <row r="13" spans="1:5" ht="18" customHeight="1" x14ac:dyDescent="0.25">
      <c r="A13" s="26" t="s">
        <v>1078</v>
      </c>
      <c r="B13" s="28" t="s">
        <v>1098</v>
      </c>
      <c r="C13" s="36" t="s">
        <v>1099</v>
      </c>
      <c r="D13" s="28" t="s">
        <v>1100</v>
      </c>
      <c r="E13" s="27"/>
    </row>
    <row r="14" spans="1:5" ht="18" customHeight="1" x14ac:dyDescent="0.25">
      <c r="A14" s="26" t="s">
        <v>1078</v>
      </c>
      <c r="B14" s="28" t="s">
        <v>1101</v>
      </c>
      <c r="C14" s="36" t="s">
        <v>1102</v>
      </c>
      <c r="D14" s="28" t="s">
        <v>1103</v>
      </c>
      <c r="E14" s="27"/>
    </row>
    <row r="15" spans="1:5" ht="18" customHeight="1" x14ac:dyDescent="0.25">
      <c r="A15" s="26" t="s">
        <v>1078</v>
      </c>
      <c r="B15" s="28" t="s">
        <v>1104</v>
      </c>
      <c r="C15" s="36" t="s">
        <v>1105</v>
      </c>
      <c r="D15" s="28"/>
      <c r="E15" s="27"/>
    </row>
    <row r="16" spans="1:5" ht="18" customHeight="1" x14ac:dyDescent="0.25">
      <c r="A16" s="26" t="s">
        <v>1078</v>
      </c>
      <c r="B16" s="28" t="s">
        <v>1106</v>
      </c>
      <c r="C16" s="36" t="s">
        <v>1107</v>
      </c>
      <c r="D16" s="28"/>
      <c r="E16" s="27"/>
    </row>
    <row r="17" spans="1:5" ht="18" customHeight="1" x14ac:dyDescent="0.25">
      <c r="A17" s="26" t="s">
        <v>1078</v>
      </c>
      <c r="B17" s="28" t="s">
        <v>1108</v>
      </c>
      <c r="C17" s="36" t="s">
        <v>1109</v>
      </c>
      <c r="D17" s="28" t="s">
        <v>1110</v>
      </c>
      <c r="E17" s="27"/>
    </row>
    <row r="18" spans="1:5" ht="18" customHeight="1" x14ac:dyDescent="0.25">
      <c r="A18" s="26" t="s">
        <v>1078</v>
      </c>
      <c r="B18" s="28" t="s">
        <v>1111</v>
      </c>
      <c r="C18" s="36" t="s">
        <v>1112</v>
      </c>
      <c r="D18" s="28"/>
      <c r="E18" s="27"/>
    </row>
    <row r="19" spans="1:5" ht="18" customHeight="1" x14ac:dyDescent="0.25">
      <c r="A19" s="26" t="s">
        <v>1078</v>
      </c>
      <c r="B19" s="28" t="s">
        <v>1113</v>
      </c>
      <c r="C19" s="36" t="s">
        <v>1114</v>
      </c>
      <c r="D19" s="28"/>
      <c r="E19" s="27"/>
    </row>
    <row r="20" spans="1:5" ht="18" customHeight="1" x14ac:dyDescent="0.25">
      <c r="A20" s="26" t="s">
        <v>1078</v>
      </c>
      <c r="B20" s="28" t="s">
        <v>1115</v>
      </c>
      <c r="C20" s="36" t="s">
        <v>1116</v>
      </c>
      <c r="D20" s="28"/>
      <c r="E20" s="27"/>
    </row>
    <row r="21" spans="1:5" ht="18" customHeight="1" x14ac:dyDescent="0.25">
      <c r="A21" s="22" t="s">
        <v>1117</v>
      </c>
      <c r="B21" s="24" t="s">
        <v>1118</v>
      </c>
      <c r="C21" s="37" t="s">
        <v>1119</v>
      </c>
      <c r="D21" s="24"/>
      <c r="E21" s="23"/>
    </row>
    <row r="22" spans="1:5" ht="18" customHeight="1" x14ac:dyDescent="0.25">
      <c r="A22" s="22" t="s">
        <v>1117</v>
      </c>
      <c r="B22" s="24" t="s">
        <v>1120</v>
      </c>
      <c r="C22" s="37" t="s">
        <v>1121</v>
      </c>
      <c r="D22" s="24"/>
      <c r="E22" s="23"/>
    </row>
    <row r="23" spans="1:5" ht="18" customHeight="1" x14ac:dyDescent="0.25">
      <c r="A23" s="22" t="s">
        <v>1117</v>
      </c>
      <c r="B23" s="24" t="s">
        <v>1122</v>
      </c>
      <c r="C23" s="37" t="s">
        <v>1123</v>
      </c>
      <c r="D23" s="24"/>
      <c r="E23" s="23"/>
    </row>
    <row r="24" spans="1:5" ht="18" customHeight="1" x14ac:dyDescent="0.25">
      <c r="A24" s="22" t="s">
        <v>1117</v>
      </c>
      <c r="B24" s="24" t="s">
        <v>1124</v>
      </c>
      <c r="C24" s="37" t="s">
        <v>1125</v>
      </c>
      <c r="D24" s="24"/>
      <c r="E24" s="23"/>
    </row>
    <row r="25" spans="1:5" ht="18" customHeight="1" x14ac:dyDescent="0.25">
      <c r="A25" s="22" t="s">
        <v>1117</v>
      </c>
      <c r="B25" s="24" t="s">
        <v>1126</v>
      </c>
      <c r="C25" s="37" t="s">
        <v>1127</v>
      </c>
      <c r="D25" s="24"/>
      <c r="E25" s="23"/>
    </row>
    <row r="26" spans="1:5" ht="18" customHeight="1" x14ac:dyDescent="0.25">
      <c r="A26" s="22" t="s">
        <v>1117</v>
      </c>
      <c r="B26" s="24" t="s">
        <v>1128</v>
      </c>
      <c r="C26" s="37" t="s">
        <v>1129</v>
      </c>
      <c r="D26" s="24"/>
      <c r="E26" s="23"/>
    </row>
    <row r="27" spans="1:5" ht="18" customHeight="1" x14ac:dyDescent="0.25">
      <c r="A27" s="22" t="s">
        <v>1117</v>
      </c>
      <c r="B27" s="24" t="s">
        <v>1130</v>
      </c>
      <c r="C27" s="37" t="s">
        <v>1131</v>
      </c>
      <c r="D27" s="24"/>
      <c r="E27" s="23"/>
    </row>
    <row r="28" spans="1:5" ht="18" customHeight="1" x14ac:dyDescent="0.25">
      <c r="A28" s="22" t="s">
        <v>1117</v>
      </c>
      <c r="B28" s="24" t="s">
        <v>1132</v>
      </c>
      <c r="C28" s="37" t="s">
        <v>1133</v>
      </c>
      <c r="D28" s="24"/>
      <c r="E28" s="23"/>
    </row>
    <row r="29" spans="1:5" ht="18" customHeight="1" x14ac:dyDescent="0.25">
      <c r="A29" s="26" t="s">
        <v>1134</v>
      </c>
      <c r="B29" s="28" t="s">
        <v>1135</v>
      </c>
      <c r="C29" s="36" t="s">
        <v>1136</v>
      </c>
      <c r="D29" s="28"/>
      <c r="E29" s="27"/>
    </row>
    <row r="30" spans="1:5" ht="18" customHeight="1" x14ac:dyDescent="0.25">
      <c r="A30" s="26" t="s">
        <v>1134</v>
      </c>
      <c r="B30" s="28" t="s">
        <v>1137</v>
      </c>
      <c r="C30" s="36" t="s">
        <v>1138</v>
      </c>
      <c r="D30" s="28"/>
      <c r="E30" s="27"/>
    </row>
    <row r="31" spans="1:5" ht="18" customHeight="1" x14ac:dyDescent="0.25">
      <c r="A31" s="26" t="s">
        <v>1134</v>
      </c>
      <c r="B31" s="28" t="s">
        <v>1139</v>
      </c>
      <c r="C31" s="36" t="s">
        <v>1140</v>
      </c>
      <c r="D31" s="28"/>
      <c r="E31" s="27"/>
    </row>
    <row r="32" spans="1:5" ht="18" customHeight="1" x14ac:dyDescent="0.25">
      <c r="A32" s="26" t="s">
        <v>1134</v>
      </c>
      <c r="B32" s="28" t="s">
        <v>1141</v>
      </c>
      <c r="C32" s="36" t="s">
        <v>1142</v>
      </c>
      <c r="D32" s="28"/>
      <c r="E32" s="27"/>
    </row>
    <row r="33" spans="1:5" ht="18" customHeight="1" x14ac:dyDescent="0.25">
      <c r="A33" s="26" t="s">
        <v>1134</v>
      </c>
      <c r="B33" s="28" t="s">
        <v>1143</v>
      </c>
      <c r="C33" s="36" t="s">
        <v>1144</v>
      </c>
      <c r="D33" s="28"/>
      <c r="E33" s="27"/>
    </row>
    <row r="34" spans="1:5" ht="18" customHeight="1" x14ac:dyDescent="0.25">
      <c r="A34" s="26" t="s">
        <v>1134</v>
      </c>
      <c r="B34" s="28" t="s">
        <v>1145</v>
      </c>
      <c r="C34" s="36" t="s">
        <v>1146</v>
      </c>
      <c r="D34" s="28" t="s">
        <v>1147</v>
      </c>
      <c r="E34" s="27"/>
    </row>
    <row r="35" spans="1:5" ht="18" customHeight="1" x14ac:dyDescent="0.25">
      <c r="A35" s="26" t="s">
        <v>1134</v>
      </c>
      <c r="B35" s="28" t="s">
        <v>1148</v>
      </c>
      <c r="C35" s="36" t="s">
        <v>1149</v>
      </c>
      <c r="D35" s="28"/>
      <c r="E35" s="27"/>
    </row>
    <row r="36" spans="1:5" ht="18" customHeight="1" x14ac:dyDescent="0.25">
      <c r="A36" s="22" t="s">
        <v>1150</v>
      </c>
      <c r="B36" s="24" t="s">
        <v>1151</v>
      </c>
      <c r="C36" s="37" t="s">
        <v>1152</v>
      </c>
      <c r="D36" s="24"/>
      <c r="E36" s="23"/>
    </row>
    <row r="37" spans="1:5" ht="18" customHeight="1" x14ac:dyDescent="0.25">
      <c r="A37" s="22" t="s">
        <v>1150</v>
      </c>
      <c r="B37" s="24" t="s">
        <v>1153</v>
      </c>
      <c r="C37" s="37" t="s">
        <v>1154</v>
      </c>
      <c r="D37" s="24"/>
      <c r="E37" s="23"/>
    </row>
    <row r="38" spans="1:5" ht="18" customHeight="1" x14ac:dyDescent="0.25">
      <c r="A38" s="22" t="s">
        <v>1150</v>
      </c>
      <c r="B38" s="24" t="s">
        <v>1155</v>
      </c>
      <c r="C38" s="37" t="s">
        <v>1156</v>
      </c>
      <c r="D38" s="24"/>
      <c r="E38" s="23"/>
    </row>
    <row r="39" spans="1:5" ht="18" customHeight="1" x14ac:dyDescent="0.25">
      <c r="A39" s="22" t="s">
        <v>1150</v>
      </c>
      <c r="B39" s="24" t="s">
        <v>1157</v>
      </c>
      <c r="C39" s="37" t="s">
        <v>1158</v>
      </c>
      <c r="D39" s="24"/>
      <c r="E39" s="23"/>
    </row>
    <row r="40" spans="1:5" ht="18" customHeight="1" x14ac:dyDescent="0.25">
      <c r="A40" s="22" t="s">
        <v>1150</v>
      </c>
      <c r="B40" s="24" t="s">
        <v>1159</v>
      </c>
      <c r="C40" s="37" t="s">
        <v>1160</v>
      </c>
      <c r="D40" s="24"/>
      <c r="E40" s="23"/>
    </row>
    <row r="41" spans="1:5" ht="18" customHeight="1" x14ac:dyDescent="0.25">
      <c r="A41" s="22" t="s">
        <v>1150</v>
      </c>
      <c r="B41" s="24" t="s">
        <v>1161</v>
      </c>
      <c r="C41" s="37" t="s">
        <v>1162</v>
      </c>
      <c r="D41" s="24"/>
      <c r="E41" s="23"/>
    </row>
    <row r="42" spans="1:5" ht="18" customHeight="1" x14ac:dyDescent="0.25">
      <c r="A42" s="26" t="s">
        <v>1163</v>
      </c>
      <c r="B42" s="28" t="s">
        <v>1164</v>
      </c>
      <c r="C42" s="36" t="s">
        <v>1165</v>
      </c>
      <c r="D42" s="28"/>
      <c r="E42" s="27"/>
    </row>
    <row r="43" spans="1:5" ht="18" customHeight="1" x14ac:dyDescent="0.25">
      <c r="A43" s="26" t="s">
        <v>1163</v>
      </c>
      <c r="B43" s="28" t="s">
        <v>1166</v>
      </c>
      <c r="C43" s="36" t="s">
        <v>1167</v>
      </c>
      <c r="D43" s="28"/>
      <c r="E43" s="27"/>
    </row>
    <row r="44" spans="1:5" ht="18" customHeight="1" x14ac:dyDescent="0.25">
      <c r="A44" s="26" t="s">
        <v>1163</v>
      </c>
      <c r="B44" s="28" t="s">
        <v>1168</v>
      </c>
      <c r="C44" s="36" t="s">
        <v>1169</v>
      </c>
      <c r="D44" s="28"/>
      <c r="E44" s="27"/>
    </row>
    <row r="45" spans="1:5" ht="18" customHeight="1" x14ac:dyDescent="0.25">
      <c r="A45" s="26" t="s">
        <v>1163</v>
      </c>
      <c r="B45" s="28" t="s">
        <v>1170</v>
      </c>
      <c r="C45" s="36" t="s">
        <v>1171</v>
      </c>
      <c r="D45" s="28"/>
      <c r="E45" s="27"/>
    </row>
    <row r="46" spans="1:5" ht="33" customHeight="1" x14ac:dyDescent="0.25">
      <c r="A46" s="22" t="s">
        <v>1172</v>
      </c>
      <c r="B46" s="24" t="s">
        <v>1173</v>
      </c>
      <c r="C46" s="37" t="s">
        <v>1174</v>
      </c>
      <c r="D46" s="24" t="s">
        <v>1175</v>
      </c>
      <c r="E46" s="23"/>
    </row>
    <row r="47" spans="1:5" ht="18" customHeight="1" x14ac:dyDescent="0.25">
      <c r="A47" s="22" t="s">
        <v>1172</v>
      </c>
      <c r="B47" s="24" t="s">
        <v>1176</v>
      </c>
      <c r="C47" s="37" t="s">
        <v>1177</v>
      </c>
      <c r="D47" s="24"/>
      <c r="E47" s="23"/>
    </row>
    <row r="48" spans="1:5" ht="18" customHeight="1" x14ac:dyDescent="0.25">
      <c r="A48" s="22" t="s">
        <v>1172</v>
      </c>
      <c r="B48" s="24" t="s">
        <v>1178</v>
      </c>
      <c r="C48" s="37" t="s">
        <v>1179</v>
      </c>
      <c r="D48" s="24"/>
      <c r="E48" s="23"/>
    </row>
    <row r="49" spans="1:5" ht="18" customHeight="1" x14ac:dyDescent="0.25">
      <c r="A49" s="22" t="s">
        <v>1172</v>
      </c>
      <c r="B49" s="24" t="s">
        <v>1180</v>
      </c>
      <c r="C49" s="37" t="s">
        <v>1181</v>
      </c>
      <c r="D49" s="24"/>
      <c r="E49" s="23"/>
    </row>
    <row r="50" spans="1:5" ht="18" customHeight="1" x14ac:dyDescent="0.25">
      <c r="A50" s="22" t="s">
        <v>1172</v>
      </c>
      <c r="B50" s="24" t="s">
        <v>1182</v>
      </c>
      <c r="C50" s="37" t="s">
        <v>1183</v>
      </c>
      <c r="D50" s="24"/>
      <c r="E50" s="23"/>
    </row>
    <row r="51" spans="1:5" ht="18" customHeight="1" x14ac:dyDescent="0.25">
      <c r="A51" s="22" t="s">
        <v>1172</v>
      </c>
      <c r="B51" s="24" t="s">
        <v>1184</v>
      </c>
      <c r="C51" s="37" t="s">
        <v>1185</v>
      </c>
      <c r="D51" s="24" t="s">
        <v>1186</v>
      </c>
      <c r="E51" s="23"/>
    </row>
    <row r="52" spans="1:5" ht="18" customHeight="1" x14ac:dyDescent="0.25">
      <c r="A52" s="22" t="s">
        <v>1172</v>
      </c>
      <c r="B52" s="24" t="s">
        <v>1187</v>
      </c>
      <c r="C52" s="37" t="s">
        <v>1188</v>
      </c>
      <c r="D52" s="24"/>
      <c r="E52" s="23"/>
    </row>
    <row r="53" spans="1:5" ht="18" customHeight="1" x14ac:dyDescent="0.25">
      <c r="A53" s="22" t="s">
        <v>1172</v>
      </c>
      <c r="B53" s="24" t="s">
        <v>1189</v>
      </c>
      <c r="C53" s="37" t="s">
        <v>1190</v>
      </c>
      <c r="D53" s="24"/>
      <c r="E53" s="23"/>
    </row>
    <row r="54" spans="1:5" ht="18" customHeight="1" x14ac:dyDescent="0.25">
      <c r="A54" s="22" t="s">
        <v>1172</v>
      </c>
      <c r="B54" s="24" t="s">
        <v>1191</v>
      </c>
      <c r="C54" s="37" t="s">
        <v>1192</v>
      </c>
      <c r="D54" s="24"/>
      <c r="E54" s="23"/>
    </row>
    <row r="55" spans="1:5" ht="18" customHeight="1" x14ac:dyDescent="0.25">
      <c r="A55" s="26" t="s">
        <v>1193</v>
      </c>
      <c r="B55" s="28" t="s">
        <v>1194</v>
      </c>
      <c r="C55" s="36" t="s">
        <v>1195</v>
      </c>
      <c r="D55" s="28" t="s">
        <v>1196</v>
      </c>
      <c r="E55" s="27"/>
    </row>
    <row r="56" spans="1:5" ht="18" customHeight="1" x14ac:dyDescent="0.25">
      <c r="A56" s="26" t="s">
        <v>1193</v>
      </c>
      <c r="B56" s="28" t="s">
        <v>1197</v>
      </c>
      <c r="C56" s="36" t="s">
        <v>1198</v>
      </c>
      <c r="D56" s="28"/>
      <c r="E56" s="27"/>
    </row>
    <row r="57" spans="1:5" ht="18" customHeight="1" x14ac:dyDescent="0.25">
      <c r="A57" s="26" t="s">
        <v>1193</v>
      </c>
      <c r="B57" s="28" t="s">
        <v>1199</v>
      </c>
      <c r="C57" s="36" t="s">
        <v>1200</v>
      </c>
      <c r="D57" s="28"/>
      <c r="E57" s="27"/>
    </row>
    <row r="58" spans="1:5" ht="18" customHeight="1" x14ac:dyDescent="0.25">
      <c r="A58" s="26" t="s">
        <v>1193</v>
      </c>
      <c r="B58" s="28" t="s">
        <v>1201</v>
      </c>
      <c r="C58" s="36" t="s">
        <v>1202</v>
      </c>
      <c r="D58" s="28"/>
      <c r="E58" s="27"/>
    </row>
    <row r="59" spans="1:5" ht="18" customHeight="1" x14ac:dyDescent="0.25">
      <c r="A59" s="26" t="s">
        <v>1193</v>
      </c>
      <c r="B59" s="28" t="s">
        <v>1203</v>
      </c>
      <c r="C59" s="36" t="s">
        <v>1204</v>
      </c>
      <c r="D59" s="28"/>
      <c r="E59" s="27"/>
    </row>
    <row r="60" spans="1:5" ht="18" customHeight="1" x14ac:dyDescent="0.25">
      <c r="A60" s="22" t="s">
        <v>1205</v>
      </c>
      <c r="B60" s="24" t="s">
        <v>1206</v>
      </c>
      <c r="C60" s="37" t="s">
        <v>1207</v>
      </c>
      <c r="D60" s="24"/>
      <c r="E60" s="23"/>
    </row>
    <row r="61" spans="1:5" ht="18" customHeight="1" x14ac:dyDescent="0.25">
      <c r="A61" s="22" t="s">
        <v>1205</v>
      </c>
      <c r="B61" s="24" t="s">
        <v>1208</v>
      </c>
      <c r="C61" s="37" t="s">
        <v>1209</v>
      </c>
      <c r="D61" s="24"/>
      <c r="E61" s="23"/>
    </row>
    <row r="62" spans="1:5" ht="18" customHeight="1" x14ac:dyDescent="0.25">
      <c r="A62" s="22" t="s">
        <v>1205</v>
      </c>
      <c r="B62" s="24" t="s">
        <v>1210</v>
      </c>
      <c r="C62" s="37" t="s">
        <v>1211</v>
      </c>
      <c r="D62" s="24"/>
      <c r="E62" s="23"/>
    </row>
  </sheetData>
  <mergeCells count="2">
    <mergeCell ref="A1:E1"/>
    <mergeCell ref="A2:E2"/>
  </mergeCells>
  <dataValidations count="1">
    <dataValidation type="list" allowBlank="1" sqref="E5:E62" xr:uid="{00000000-0002-0000-0700-000000000000}">
      <formula1>"✓"</formula1>
      <formula2>0</formula2>
    </dataValidation>
  </dataValidations>
  <pageMargins left="0.4" right="0.4" top="0.5" bottom="0.5"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74"/>
  <sheetViews>
    <sheetView zoomScale="90" zoomScaleNormal="90" workbookViewId="0">
      <pane xSplit="1" ySplit="3" topLeftCell="B57" activePane="bottomRight" state="frozen"/>
      <selection pane="topRight" activeCell="B1" sqref="B1"/>
      <selection pane="bottomLeft" activeCell="A4" sqref="A4"/>
      <selection pane="bottomRight" sqref="A1:F1"/>
    </sheetView>
  </sheetViews>
  <sheetFormatPr defaultColWidth="8.7109375" defaultRowHeight="15" x14ac:dyDescent="0.25"/>
  <cols>
    <col min="1" max="3" width="24" customWidth="1"/>
    <col min="4" max="4" width="28" customWidth="1"/>
    <col min="5" max="5" width="32" customWidth="1"/>
    <col min="6" max="6" width="22" customWidth="1"/>
  </cols>
  <sheetData>
    <row r="1" spans="1:6" ht="21.75" customHeight="1" x14ac:dyDescent="0.3">
      <c r="A1" s="9" t="s">
        <v>1212</v>
      </c>
      <c r="B1" s="9"/>
      <c r="C1" s="9"/>
      <c r="D1" s="9"/>
      <c r="E1" s="9"/>
      <c r="F1" s="9"/>
    </row>
    <row r="2" spans="1:6" ht="15.75" customHeight="1" x14ac:dyDescent="0.25">
      <c r="A2" s="8" t="s">
        <v>1213</v>
      </c>
      <c r="B2" s="8"/>
      <c r="C2" s="8"/>
      <c r="D2" s="8"/>
      <c r="E2" s="8"/>
      <c r="F2" s="8"/>
    </row>
    <row r="4" spans="1:6" ht="18.75" customHeight="1" x14ac:dyDescent="0.25">
      <c r="A4" s="6" t="s">
        <v>1214</v>
      </c>
      <c r="B4" s="6"/>
      <c r="C4" s="6"/>
      <c r="D4" s="6"/>
      <c r="E4" s="6"/>
      <c r="F4" s="6"/>
    </row>
    <row r="5" spans="1:6" ht="19.5" customHeight="1" x14ac:dyDescent="0.25">
      <c r="A5" s="12" t="s">
        <v>1215</v>
      </c>
      <c r="B5" s="12" t="s">
        <v>1216</v>
      </c>
      <c r="C5" s="12" t="s">
        <v>685</v>
      </c>
      <c r="D5" s="12" t="s">
        <v>698</v>
      </c>
      <c r="E5" s="12" t="s">
        <v>707</v>
      </c>
      <c r="F5" s="12" t="s">
        <v>1217</v>
      </c>
    </row>
    <row r="6" spans="1:6" ht="18" customHeight="1" x14ac:dyDescent="0.25">
      <c r="A6" s="14" t="s">
        <v>1218</v>
      </c>
      <c r="B6" s="15" t="s">
        <v>1219</v>
      </c>
      <c r="C6" s="15" t="s">
        <v>1220</v>
      </c>
      <c r="D6" s="15" t="s">
        <v>1221</v>
      </c>
      <c r="E6" s="15" t="s">
        <v>1222</v>
      </c>
      <c r="F6" s="15" t="s">
        <v>1223</v>
      </c>
    </row>
    <row r="7" spans="1:6" ht="18" customHeight="1" x14ac:dyDescent="0.25">
      <c r="A7" s="14" t="s">
        <v>1224</v>
      </c>
      <c r="B7" s="15" t="s">
        <v>1225</v>
      </c>
      <c r="C7" s="15" t="s">
        <v>1226</v>
      </c>
      <c r="D7" s="15" t="s">
        <v>1227</v>
      </c>
      <c r="E7" s="15" t="s">
        <v>1228</v>
      </c>
      <c r="F7" s="15" t="s">
        <v>1229</v>
      </c>
    </row>
    <row r="8" spans="1:6" ht="18" customHeight="1" x14ac:dyDescent="0.25">
      <c r="A8" s="14" t="s">
        <v>1230</v>
      </c>
      <c r="B8" s="15" t="s">
        <v>1231</v>
      </c>
      <c r="C8" s="15" t="s">
        <v>1232</v>
      </c>
      <c r="D8" s="15" t="s">
        <v>1233</v>
      </c>
      <c r="E8" s="15" t="s">
        <v>1233</v>
      </c>
      <c r="F8" s="15" t="s">
        <v>1234</v>
      </c>
    </row>
    <row r="9" spans="1:6" ht="18" customHeight="1" x14ac:dyDescent="0.25">
      <c r="A9" s="14" t="s">
        <v>1235</v>
      </c>
      <c r="B9" s="15" t="s">
        <v>1236</v>
      </c>
      <c r="C9" s="15" t="s">
        <v>1237</v>
      </c>
      <c r="D9" s="15" t="s">
        <v>1238</v>
      </c>
      <c r="E9" s="15" t="s">
        <v>1239</v>
      </c>
      <c r="F9" s="15" t="s">
        <v>1240</v>
      </c>
    </row>
    <row r="10" spans="1:6" ht="18" customHeight="1" x14ac:dyDescent="0.25">
      <c r="A10" s="14" t="s">
        <v>1241</v>
      </c>
      <c r="B10" s="15" t="s">
        <v>1242</v>
      </c>
      <c r="C10" s="15" t="s">
        <v>1243</v>
      </c>
      <c r="D10" s="15" t="s">
        <v>1244</v>
      </c>
      <c r="E10" s="15" t="s">
        <v>1245</v>
      </c>
      <c r="F10" s="15" t="s">
        <v>1246</v>
      </c>
    </row>
    <row r="11" spans="1:6" ht="18" customHeight="1" x14ac:dyDescent="0.25">
      <c r="A11" s="14" t="s">
        <v>1247</v>
      </c>
      <c r="B11" s="15" t="s">
        <v>1248</v>
      </c>
      <c r="C11" s="15" t="s">
        <v>1249</v>
      </c>
      <c r="D11" s="15" t="s">
        <v>1250</v>
      </c>
      <c r="E11" s="15" t="s">
        <v>1251</v>
      </c>
      <c r="F11" s="15" t="s">
        <v>1250</v>
      </c>
    </row>
    <row r="12" spans="1:6" ht="18" customHeight="1" x14ac:dyDescent="0.25">
      <c r="A12" s="14" t="s">
        <v>1252</v>
      </c>
      <c r="B12" s="15" t="s">
        <v>1253</v>
      </c>
      <c r="C12" s="15" t="s">
        <v>1254</v>
      </c>
      <c r="D12" s="15" t="s">
        <v>1255</v>
      </c>
      <c r="E12" s="15" t="s">
        <v>1256</v>
      </c>
      <c r="F12" s="15" t="s">
        <v>1257</v>
      </c>
    </row>
    <row r="13" spans="1:6" ht="18" customHeight="1" x14ac:dyDescent="0.25">
      <c r="A13" s="14" t="s">
        <v>1210</v>
      </c>
      <c r="B13" s="15" t="s">
        <v>1258</v>
      </c>
      <c r="C13" s="15" t="s">
        <v>1259</v>
      </c>
      <c r="D13" s="15" t="s">
        <v>1260</v>
      </c>
      <c r="E13" s="15" t="s">
        <v>1261</v>
      </c>
      <c r="F13" s="15" t="s">
        <v>1262</v>
      </c>
    </row>
    <row r="14" spans="1:6" ht="18" customHeight="1" x14ac:dyDescent="0.25">
      <c r="A14" s="14" t="s">
        <v>1263</v>
      </c>
      <c r="B14" s="15" t="s">
        <v>1264</v>
      </c>
      <c r="C14" s="15" t="s">
        <v>1265</v>
      </c>
      <c r="D14" s="15" t="s">
        <v>1266</v>
      </c>
      <c r="E14" s="15" t="s">
        <v>1267</v>
      </c>
      <c r="F14" s="15" t="s">
        <v>1268</v>
      </c>
    </row>
    <row r="15" spans="1:6" ht="18" customHeight="1" x14ac:dyDescent="0.25">
      <c r="A15" s="14" t="s">
        <v>1269</v>
      </c>
      <c r="B15" s="15" t="s">
        <v>1270</v>
      </c>
      <c r="C15" s="15" t="s">
        <v>1271</v>
      </c>
      <c r="D15" s="15" t="s">
        <v>1272</v>
      </c>
      <c r="E15" s="15" t="s">
        <v>1273</v>
      </c>
      <c r="F15" s="15" t="s">
        <v>1274</v>
      </c>
    </row>
    <row r="16" spans="1:6" ht="18" customHeight="1" x14ac:dyDescent="0.25">
      <c r="A16" s="14" t="s">
        <v>1275</v>
      </c>
      <c r="B16" s="15" t="s">
        <v>1276</v>
      </c>
      <c r="C16" s="15" t="s">
        <v>1277</v>
      </c>
      <c r="D16" s="15" t="s">
        <v>1278</v>
      </c>
      <c r="E16" s="15" t="s">
        <v>1279</v>
      </c>
      <c r="F16" s="15" t="s">
        <v>1280</v>
      </c>
    </row>
    <row r="18" spans="1:6" ht="18.75" customHeight="1" x14ac:dyDescent="0.25">
      <c r="A18" s="6" t="s">
        <v>1281</v>
      </c>
      <c r="B18" s="6"/>
      <c r="C18" s="6"/>
      <c r="D18" s="6"/>
      <c r="E18" s="6"/>
      <c r="F18" s="6"/>
    </row>
    <row r="19" spans="1:6" ht="19.5" customHeight="1" x14ac:dyDescent="0.25">
      <c r="A19" s="12" t="s">
        <v>1215</v>
      </c>
      <c r="B19" s="12" t="s">
        <v>1216</v>
      </c>
      <c r="C19" s="12" t="s">
        <v>685</v>
      </c>
      <c r="D19" s="12" t="s">
        <v>698</v>
      </c>
      <c r="E19" s="12" t="s">
        <v>707</v>
      </c>
      <c r="F19" s="12"/>
    </row>
    <row r="20" spans="1:6" ht="18.75" customHeight="1" x14ac:dyDescent="0.25">
      <c r="A20" s="3" t="s">
        <v>1282</v>
      </c>
      <c r="B20" s="3"/>
      <c r="C20" s="3"/>
      <c r="D20" s="3"/>
      <c r="E20" s="3"/>
      <c r="F20" s="3"/>
    </row>
    <row r="21" spans="1:6" ht="18" customHeight="1" x14ac:dyDescent="0.25">
      <c r="A21" s="14" t="s">
        <v>1283</v>
      </c>
      <c r="B21" s="15" t="s">
        <v>1284</v>
      </c>
      <c r="C21" s="15" t="s">
        <v>1285</v>
      </c>
      <c r="D21" s="15" t="s">
        <v>1286</v>
      </c>
      <c r="E21" s="15" t="s">
        <v>1287</v>
      </c>
      <c r="F21" s="15"/>
    </row>
    <row r="22" spans="1:6" ht="18" customHeight="1" x14ac:dyDescent="0.25">
      <c r="A22" s="14" t="s">
        <v>1288</v>
      </c>
      <c r="B22" s="15" t="s">
        <v>1289</v>
      </c>
      <c r="C22" s="15" t="s">
        <v>1290</v>
      </c>
      <c r="D22" s="15" t="s">
        <v>1291</v>
      </c>
      <c r="E22" s="15" t="s">
        <v>1292</v>
      </c>
      <c r="F22" s="15"/>
    </row>
    <row r="23" spans="1:6" ht="18" customHeight="1" x14ac:dyDescent="0.25">
      <c r="A23" s="14" t="s">
        <v>1293</v>
      </c>
      <c r="B23" s="15" t="s">
        <v>1294</v>
      </c>
      <c r="C23" s="15" t="s">
        <v>1295</v>
      </c>
      <c r="D23" s="15" t="s">
        <v>1296</v>
      </c>
      <c r="E23" s="15" t="s">
        <v>1297</v>
      </c>
      <c r="F23" s="15"/>
    </row>
    <row r="24" spans="1:6" ht="18" customHeight="1" x14ac:dyDescent="0.25">
      <c r="A24" s="14" t="s">
        <v>1298</v>
      </c>
      <c r="B24" s="15" t="s">
        <v>1299</v>
      </c>
      <c r="C24" s="15" t="s">
        <v>1300</v>
      </c>
      <c r="D24" s="15" t="s">
        <v>1301</v>
      </c>
      <c r="E24" s="15" t="s">
        <v>1302</v>
      </c>
      <c r="F24" s="15"/>
    </row>
    <row r="25" spans="1:6" ht="18" customHeight="1" x14ac:dyDescent="0.25">
      <c r="A25" s="14" t="s">
        <v>1303</v>
      </c>
      <c r="B25" s="15" t="s">
        <v>1304</v>
      </c>
      <c r="C25" s="15" t="s">
        <v>1305</v>
      </c>
      <c r="D25" s="15" t="s">
        <v>1306</v>
      </c>
      <c r="E25" s="15" t="s">
        <v>1307</v>
      </c>
      <c r="F25" s="15"/>
    </row>
    <row r="26" spans="1:6" ht="18" customHeight="1" x14ac:dyDescent="0.25">
      <c r="A26" s="14" t="s">
        <v>1308</v>
      </c>
      <c r="B26" s="15" t="s">
        <v>1309</v>
      </c>
      <c r="C26" s="15" t="s">
        <v>1310</v>
      </c>
      <c r="D26" s="15" t="s">
        <v>1311</v>
      </c>
      <c r="E26" s="15" t="s">
        <v>1311</v>
      </c>
      <c r="F26" s="15"/>
    </row>
    <row r="27" spans="1:6" ht="18" customHeight="1" x14ac:dyDescent="0.25">
      <c r="A27" s="14" t="s">
        <v>1312</v>
      </c>
      <c r="B27" s="15" t="s">
        <v>1313</v>
      </c>
      <c r="C27" s="15" t="s">
        <v>1314</v>
      </c>
      <c r="D27" s="15" t="s">
        <v>1315</v>
      </c>
      <c r="E27" s="15" t="s">
        <v>1316</v>
      </c>
      <c r="F27" s="15"/>
    </row>
    <row r="28" spans="1:6" ht="18" customHeight="1" x14ac:dyDescent="0.25">
      <c r="A28" s="14" t="s">
        <v>1317</v>
      </c>
      <c r="B28" s="15" t="s">
        <v>1318</v>
      </c>
      <c r="C28" s="15" t="s">
        <v>1319</v>
      </c>
      <c r="D28" s="15" t="s">
        <v>1320</v>
      </c>
      <c r="E28" s="15" t="s">
        <v>1321</v>
      </c>
      <c r="F28" s="15"/>
    </row>
    <row r="29" spans="1:6" ht="18" customHeight="1" x14ac:dyDescent="0.25">
      <c r="A29" s="14" t="s">
        <v>1322</v>
      </c>
      <c r="B29" s="15" t="s">
        <v>1323</v>
      </c>
      <c r="C29" s="15" t="s">
        <v>1324</v>
      </c>
      <c r="D29" s="15" t="s">
        <v>1325</v>
      </c>
      <c r="E29" s="15" t="s">
        <v>1326</v>
      </c>
      <c r="F29" s="15"/>
    </row>
    <row r="30" spans="1:6" ht="18" customHeight="1" x14ac:dyDescent="0.25">
      <c r="A30" s="14" t="s">
        <v>1327</v>
      </c>
      <c r="B30" s="15" t="s">
        <v>1328</v>
      </c>
      <c r="C30" s="15" t="s">
        <v>1329</v>
      </c>
      <c r="D30" s="15" t="s">
        <v>1330</v>
      </c>
      <c r="E30" s="15" t="s">
        <v>1331</v>
      </c>
      <c r="F30" s="15"/>
    </row>
    <row r="31" spans="1:6" ht="18.75" customHeight="1" x14ac:dyDescent="0.25">
      <c r="A31" s="3" t="s">
        <v>1332</v>
      </c>
      <c r="B31" s="3"/>
      <c r="C31" s="3"/>
      <c r="D31" s="3"/>
      <c r="E31" s="3"/>
      <c r="F31" s="3"/>
    </row>
    <row r="32" spans="1:6" ht="18" customHeight="1" x14ac:dyDescent="0.25">
      <c r="A32" s="14" t="s">
        <v>1333</v>
      </c>
      <c r="B32" s="15" t="s">
        <v>1334</v>
      </c>
      <c r="C32" s="15" t="s">
        <v>1335</v>
      </c>
      <c r="D32" s="15" t="s">
        <v>1336</v>
      </c>
      <c r="E32" s="15" t="s">
        <v>1337</v>
      </c>
      <c r="F32" s="15"/>
    </row>
    <row r="33" spans="1:6" ht="18" customHeight="1" x14ac:dyDescent="0.25">
      <c r="A33" s="14" t="s">
        <v>1338</v>
      </c>
      <c r="B33" s="15" t="s">
        <v>1339</v>
      </c>
      <c r="C33" s="15" t="s">
        <v>1340</v>
      </c>
      <c r="D33" s="15" t="s">
        <v>1341</v>
      </c>
      <c r="E33" s="15" t="s">
        <v>1342</v>
      </c>
      <c r="F33" s="15"/>
    </row>
    <row r="34" spans="1:6" ht="18" customHeight="1" x14ac:dyDescent="0.25">
      <c r="A34" s="14" t="s">
        <v>1343</v>
      </c>
      <c r="B34" s="15" t="s">
        <v>1344</v>
      </c>
      <c r="C34" s="15" t="s">
        <v>1345</v>
      </c>
      <c r="D34" s="15" t="s">
        <v>1346</v>
      </c>
      <c r="E34" s="15" t="s">
        <v>1347</v>
      </c>
      <c r="F34" s="15"/>
    </row>
    <row r="35" spans="1:6" ht="18" customHeight="1" x14ac:dyDescent="0.25">
      <c r="A35" s="14" t="s">
        <v>1348</v>
      </c>
      <c r="B35" s="15" t="s">
        <v>1349</v>
      </c>
      <c r="C35" s="15" t="s">
        <v>1350</v>
      </c>
      <c r="D35" s="15" t="s">
        <v>1350</v>
      </c>
      <c r="E35" s="15" t="s">
        <v>1351</v>
      </c>
      <c r="F35" s="15"/>
    </row>
    <row r="36" spans="1:6" ht="18" customHeight="1" x14ac:dyDescent="0.25">
      <c r="A36" s="14" t="s">
        <v>1352</v>
      </c>
      <c r="B36" s="15" t="s">
        <v>1353</v>
      </c>
      <c r="C36" s="15" t="s">
        <v>1354</v>
      </c>
      <c r="D36" s="15" t="s">
        <v>1355</v>
      </c>
      <c r="E36" s="15" t="s">
        <v>1356</v>
      </c>
      <c r="F36" s="15"/>
    </row>
    <row r="37" spans="1:6" ht="18" customHeight="1" x14ac:dyDescent="0.25">
      <c r="A37" s="14" t="s">
        <v>1357</v>
      </c>
      <c r="B37" s="15" t="s">
        <v>1358</v>
      </c>
      <c r="C37" s="15" t="s">
        <v>1359</v>
      </c>
      <c r="D37" s="15" t="s">
        <v>1360</v>
      </c>
      <c r="E37" s="15" t="s">
        <v>1361</v>
      </c>
      <c r="F37" s="15"/>
    </row>
    <row r="38" spans="1:6" ht="18" customHeight="1" x14ac:dyDescent="0.25">
      <c r="A38" s="14" t="s">
        <v>1362</v>
      </c>
      <c r="B38" s="15" t="s">
        <v>1363</v>
      </c>
      <c r="C38" s="15" t="s">
        <v>1364</v>
      </c>
      <c r="D38" s="15" t="s">
        <v>1365</v>
      </c>
      <c r="E38" s="15" t="s">
        <v>1366</v>
      </c>
      <c r="F38" s="15"/>
    </row>
    <row r="39" spans="1:6" ht="18" customHeight="1" x14ac:dyDescent="0.25">
      <c r="A39" s="14" t="s">
        <v>1367</v>
      </c>
      <c r="B39" s="15" t="s">
        <v>1368</v>
      </c>
      <c r="C39" s="15" t="s">
        <v>1368</v>
      </c>
      <c r="D39" s="15" t="s">
        <v>1369</v>
      </c>
      <c r="E39" s="15" t="s">
        <v>1370</v>
      </c>
      <c r="F39" s="15"/>
    </row>
    <row r="40" spans="1:6" ht="18" customHeight="1" x14ac:dyDescent="0.25">
      <c r="A40" s="14" t="s">
        <v>1371</v>
      </c>
      <c r="B40" s="15" t="s">
        <v>1372</v>
      </c>
      <c r="C40" s="15" t="s">
        <v>1373</v>
      </c>
      <c r="D40" s="15" t="s">
        <v>1374</v>
      </c>
      <c r="E40" s="15" t="s">
        <v>1374</v>
      </c>
      <c r="F40" s="15"/>
    </row>
    <row r="41" spans="1:6" ht="18.75" customHeight="1" x14ac:dyDescent="0.25">
      <c r="A41" s="3" t="s">
        <v>1375</v>
      </c>
      <c r="B41" s="3"/>
      <c r="C41" s="3"/>
      <c r="D41" s="3"/>
      <c r="E41" s="3"/>
      <c r="F41" s="3"/>
    </row>
    <row r="42" spans="1:6" ht="18" customHeight="1" x14ac:dyDescent="0.25">
      <c r="A42" s="14" t="s">
        <v>1376</v>
      </c>
      <c r="B42" s="15" t="s">
        <v>1377</v>
      </c>
      <c r="C42" s="15" t="s">
        <v>1378</v>
      </c>
      <c r="D42" s="15" t="s">
        <v>1379</v>
      </c>
      <c r="E42" s="15" t="s">
        <v>1380</v>
      </c>
      <c r="F42" s="15"/>
    </row>
    <row r="43" spans="1:6" ht="18" customHeight="1" x14ac:dyDescent="0.25">
      <c r="A43" s="14" t="s">
        <v>1381</v>
      </c>
      <c r="B43" s="15" t="s">
        <v>1382</v>
      </c>
      <c r="C43" s="15" t="s">
        <v>1383</v>
      </c>
      <c r="D43" s="15" t="s">
        <v>1384</v>
      </c>
      <c r="E43" s="15" t="s">
        <v>1385</v>
      </c>
      <c r="F43" s="15"/>
    </row>
    <row r="44" spans="1:6" ht="18" customHeight="1" x14ac:dyDescent="0.25">
      <c r="A44" s="14" t="s">
        <v>1386</v>
      </c>
      <c r="B44" s="15" t="s">
        <v>1387</v>
      </c>
      <c r="C44" s="15" t="s">
        <v>1388</v>
      </c>
      <c r="D44" s="15" t="s">
        <v>1389</v>
      </c>
      <c r="E44" s="15" t="s">
        <v>1390</v>
      </c>
      <c r="F44" s="15"/>
    </row>
    <row r="45" spans="1:6" ht="18" customHeight="1" x14ac:dyDescent="0.25">
      <c r="A45" s="14" t="s">
        <v>1391</v>
      </c>
      <c r="B45" s="15" t="s">
        <v>1392</v>
      </c>
      <c r="C45" s="15" t="s">
        <v>1393</v>
      </c>
      <c r="D45" s="15" t="s">
        <v>1394</v>
      </c>
      <c r="E45" s="15" t="s">
        <v>1395</v>
      </c>
      <c r="F45" s="15"/>
    </row>
    <row r="46" spans="1:6" ht="18" customHeight="1" x14ac:dyDescent="0.25">
      <c r="A46" s="14" t="s">
        <v>1396</v>
      </c>
      <c r="B46" s="15" t="s">
        <v>1397</v>
      </c>
      <c r="C46" s="15" t="s">
        <v>1398</v>
      </c>
      <c r="D46" s="15" t="s">
        <v>1399</v>
      </c>
      <c r="E46" s="15" t="s">
        <v>1400</v>
      </c>
      <c r="F46" s="15"/>
    </row>
    <row r="47" spans="1:6" ht="18" customHeight="1" x14ac:dyDescent="0.25">
      <c r="A47" s="14" t="s">
        <v>1401</v>
      </c>
      <c r="B47" s="15" t="s">
        <v>1402</v>
      </c>
      <c r="C47" s="15" t="s">
        <v>1403</v>
      </c>
      <c r="D47" s="15" t="s">
        <v>1404</v>
      </c>
      <c r="E47" s="15" t="s">
        <v>1405</v>
      </c>
      <c r="F47" s="15"/>
    </row>
    <row r="48" spans="1:6" ht="18" customHeight="1" x14ac:dyDescent="0.25">
      <c r="A48" s="14" t="s">
        <v>1406</v>
      </c>
      <c r="B48" s="15" t="s">
        <v>1407</v>
      </c>
      <c r="C48" s="15" t="s">
        <v>1408</v>
      </c>
      <c r="D48" s="15" t="s">
        <v>1409</v>
      </c>
      <c r="E48" s="15" t="s">
        <v>1410</v>
      </c>
      <c r="F48" s="15"/>
    </row>
    <row r="49" spans="1:6" ht="18" customHeight="1" x14ac:dyDescent="0.25">
      <c r="A49" s="14" t="s">
        <v>1411</v>
      </c>
      <c r="B49" s="15" t="s">
        <v>1412</v>
      </c>
      <c r="C49" s="15" t="s">
        <v>1413</v>
      </c>
      <c r="D49" s="15" t="s">
        <v>1414</v>
      </c>
      <c r="E49" s="15" t="s">
        <v>1415</v>
      </c>
      <c r="F49" s="15"/>
    </row>
    <row r="50" spans="1:6" ht="18" customHeight="1" x14ac:dyDescent="0.25">
      <c r="A50" s="14" t="s">
        <v>1416</v>
      </c>
      <c r="B50" s="15" t="s">
        <v>1417</v>
      </c>
      <c r="C50" s="15" t="s">
        <v>1418</v>
      </c>
      <c r="D50" s="15" t="s">
        <v>1419</v>
      </c>
      <c r="E50" s="15" t="s">
        <v>1420</v>
      </c>
      <c r="F50" s="15"/>
    </row>
    <row r="51" spans="1:6" ht="18" customHeight="1" x14ac:dyDescent="0.25">
      <c r="A51" s="14" t="s">
        <v>1421</v>
      </c>
      <c r="B51" s="15" t="s">
        <v>1422</v>
      </c>
      <c r="C51" s="15" t="s">
        <v>1423</v>
      </c>
      <c r="D51" s="15" t="s">
        <v>1424</v>
      </c>
      <c r="E51" s="15" t="s">
        <v>1425</v>
      </c>
      <c r="F51" s="15"/>
    </row>
    <row r="52" spans="1:6" ht="18" customHeight="1" x14ac:dyDescent="0.25">
      <c r="A52" s="14" t="s">
        <v>1426</v>
      </c>
      <c r="B52" s="15" t="s">
        <v>1427</v>
      </c>
      <c r="C52" s="15" t="s">
        <v>1428</v>
      </c>
      <c r="D52" s="15" t="s">
        <v>1429</v>
      </c>
      <c r="E52" s="15" t="s">
        <v>1430</v>
      </c>
      <c r="F52" s="15"/>
    </row>
    <row r="53" spans="1:6" ht="18" customHeight="1" x14ac:dyDescent="0.25">
      <c r="A53" s="14" t="s">
        <v>1431</v>
      </c>
      <c r="B53" s="15" t="s">
        <v>1432</v>
      </c>
      <c r="C53" s="15" t="s">
        <v>1433</v>
      </c>
      <c r="D53" s="15" t="s">
        <v>1434</v>
      </c>
      <c r="E53" s="15" t="s">
        <v>1435</v>
      </c>
      <c r="F53" s="15"/>
    </row>
    <row r="54" spans="1:6" ht="18" customHeight="1" x14ac:dyDescent="0.25">
      <c r="A54" s="14" t="s">
        <v>1436</v>
      </c>
      <c r="B54" s="15" t="s">
        <v>1437</v>
      </c>
      <c r="C54" s="15" t="s">
        <v>1438</v>
      </c>
      <c r="D54" s="15" t="s">
        <v>1439</v>
      </c>
      <c r="E54" s="15" t="s">
        <v>1440</v>
      </c>
      <c r="F54" s="15"/>
    </row>
    <row r="55" spans="1:6" ht="18" customHeight="1" x14ac:dyDescent="0.25">
      <c r="A55" s="14" t="s">
        <v>1441</v>
      </c>
      <c r="B55" s="15" t="s">
        <v>1442</v>
      </c>
      <c r="C55" s="15" t="s">
        <v>1443</v>
      </c>
      <c r="D55" s="15" t="s">
        <v>1444</v>
      </c>
      <c r="E55" s="15" t="s">
        <v>1445</v>
      </c>
      <c r="F55" s="15"/>
    </row>
    <row r="56" spans="1:6" ht="18.75" customHeight="1" x14ac:dyDescent="0.25">
      <c r="A56" s="3" t="s">
        <v>1446</v>
      </c>
      <c r="B56" s="3"/>
      <c r="C56" s="3"/>
      <c r="D56" s="3"/>
      <c r="E56" s="3"/>
      <c r="F56" s="3"/>
    </row>
    <row r="57" spans="1:6" ht="18" customHeight="1" x14ac:dyDescent="0.25">
      <c r="A57" s="14" t="s">
        <v>1447</v>
      </c>
      <c r="B57" s="15" t="s">
        <v>1448</v>
      </c>
      <c r="C57" s="15" t="s">
        <v>1449</v>
      </c>
      <c r="D57" s="15" t="s">
        <v>1450</v>
      </c>
      <c r="E57" s="15" t="s">
        <v>1451</v>
      </c>
      <c r="F57" s="15"/>
    </row>
    <row r="58" spans="1:6" ht="18" customHeight="1" x14ac:dyDescent="0.25">
      <c r="A58" s="14" t="s">
        <v>1452</v>
      </c>
      <c r="B58" s="15" t="s">
        <v>1453</v>
      </c>
      <c r="C58" s="15" t="s">
        <v>1454</v>
      </c>
      <c r="D58" s="15" t="s">
        <v>1455</v>
      </c>
      <c r="E58" s="15" t="s">
        <v>1456</v>
      </c>
      <c r="F58" s="15"/>
    </row>
    <row r="59" spans="1:6" ht="18" customHeight="1" x14ac:dyDescent="0.25">
      <c r="A59" s="14" t="s">
        <v>1457</v>
      </c>
      <c r="B59" s="15" t="s">
        <v>1458</v>
      </c>
      <c r="C59" s="15" t="s">
        <v>1459</v>
      </c>
      <c r="D59" s="15" t="s">
        <v>1460</v>
      </c>
      <c r="E59" s="15" t="s">
        <v>1460</v>
      </c>
      <c r="F59" s="15"/>
    </row>
    <row r="60" spans="1:6" ht="18" customHeight="1" x14ac:dyDescent="0.25">
      <c r="A60" s="14" t="s">
        <v>1461</v>
      </c>
      <c r="B60" s="15" t="s">
        <v>1462</v>
      </c>
      <c r="C60" s="15" t="s">
        <v>1463</v>
      </c>
      <c r="D60" s="15" t="s">
        <v>1464</v>
      </c>
      <c r="E60" s="15" t="s">
        <v>1465</v>
      </c>
      <c r="F60" s="15"/>
    </row>
    <row r="61" spans="1:6" ht="18" customHeight="1" x14ac:dyDescent="0.25">
      <c r="A61" s="14" t="s">
        <v>1466</v>
      </c>
      <c r="B61" s="15" t="s">
        <v>1467</v>
      </c>
      <c r="C61" s="15" t="s">
        <v>1468</v>
      </c>
      <c r="D61" s="15" t="s">
        <v>1469</v>
      </c>
      <c r="E61" s="15" t="s">
        <v>1470</v>
      </c>
      <c r="F61" s="15"/>
    </row>
    <row r="62" spans="1:6" ht="18" customHeight="1" x14ac:dyDescent="0.25">
      <c r="A62" s="14" t="s">
        <v>1471</v>
      </c>
      <c r="B62" s="15" t="s">
        <v>1472</v>
      </c>
      <c r="C62" s="15" t="s">
        <v>1473</v>
      </c>
      <c r="D62" s="15" t="s">
        <v>1474</v>
      </c>
      <c r="E62" s="15" t="s">
        <v>1473</v>
      </c>
      <c r="F62" s="15"/>
    </row>
    <row r="63" spans="1:6" ht="18" customHeight="1" x14ac:dyDescent="0.25">
      <c r="A63" s="14" t="s">
        <v>1475</v>
      </c>
      <c r="B63" s="15" t="s">
        <v>1476</v>
      </c>
      <c r="C63" s="15" t="s">
        <v>1477</v>
      </c>
      <c r="D63" s="15" t="s">
        <v>1478</v>
      </c>
      <c r="E63" s="15" t="s">
        <v>1479</v>
      </c>
      <c r="F63" s="15"/>
    </row>
    <row r="64" spans="1:6" ht="18" customHeight="1" x14ac:dyDescent="0.25">
      <c r="A64" s="14" t="s">
        <v>1480</v>
      </c>
      <c r="B64" s="15" t="s">
        <v>1481</v>
      </c>
      <c r="C64" s="15" t="s">
        <v>1482</v>
      </c>
      <c r="D64" s="15" t="s">
        <v>1483</v>
      </c>
      <c r="E64" s="15" t="s">
        <v>1484</v>
      </c>
      <c r="F64" s="15"/>
    </row>
    <row r="65" spans="1:6" ht="18" customHeight="1" x14ac:dyDescent="0.25">
      <c r="A65" s="14" t="s">
        <v>1485</v>
      </c>
      <c r="B65" s="15" t="s">
        <v>1486</v>
      </c>
      <c r="C65" s="15" t="s">
        <v>1487</v>
      </c>
      <c r="D65" s="15" t="s">
        <v>1488</v>
      </c>
      <c r="E65" s="15" t="s">
        <v>1489</v>
      </c>
      <c r="F65" s="15"/>
    </row>
    <row r="66" spans="1:6" ht="18" customHeight="1" x14ac:dyDescent="0.25">
      <c r="A66" s="14" t="s">
        <v>1490</v>
      </c>
      <c r="B66" s="15" t="s">
        <v>1491</v>
      </c>
      <c r="C66" s="15" t="s">
        <v>1492</v>
      </c>
      <c r="D66" s="15" t="s">
        <v>1493</v>
      </c>
      <c r="E66" s="15" t="s">
        <v>1494</v>
      </c>
      <c r="F66" s="15"/>
    </row>
    <row r="67" spans="1:6" ht="18.75" customHeight="1" x14ac:dyDescent="0.25">
      <c r="A67" s="3" t="s">
        <v>1495</v>
      </c>
      <c r="B67" s="3"/>
      <c r="C67" s="3"/>
      <c r="D67" s="3"/>
      <c r="E67" s="3"/>
      <c r="F67" s="3"/>
    </row>
    <row r="68" spans="1:6" ht="18" customHeight="1" x14ac:dyDescent="0.25">
      <c r="A68" s="14" t="s">
        <v>1496</v>
      </c>
      <c r="B68" s="15" t="s">
        <v>1497</v>
      </c>
      <c r="C68" s="15" t="s">
        <v>1498</v>
      </c>
      <c r="D68" s="15" t="s">
        <v>1499</v>
      </c>
      <c r="E68" s="15" t="s">
        <v>1500</v>
      </c>
      <c r="F68" s="15"/>
    </row>
    <row r="69" spans="1:6" ht="18" customHeight="1" x14ac:dyDescent="0.25">
      <c r="A69" s="14" t="s">
        <v>1501</v>
      </c>
      <c r="B69" s="15" t="s">
        <v>1502</v>
      </c>
      <c r="C69" s="15" t="s">
        <v>1503</v>
      </c>
      <c r="D69" s="15" t="s">
        <v>1504</v>
      </c>
      <c r="E69" s="15" t="s">
        <v>1505</v>
      </c>
      <c r="F69" s="15"/>
    </row>
    <row r="70" spans="1:6" ht="18" customHeight="1" x14ac:dyDescent="0.25">
      <c r="A70" s="14" t="s">
        <v>1506</v>
      </c>
      <c r="B70" s="15" t="s">
        <v>1507</v>
      </c>
      <c r="C70" s="15" t="s">
        <v>1508</v>
      </c>
      <c r="D70" s="15" t="s">
        <v>1509</v>
      </c>
      <c r="E70" s="15" t="s">
        <v>1510</v>
      </c>
      <c r="F70" s="15"/>
    </row>
    <row r="71" spans="1:6" ht="18" customHeight="1" x14ac:dyDescent="0.25">
      <c r="A71" s="14" t="s">
        <v>1511</v>
      </c>
      <c r="B71" s="15" t="s">
        <v>1512</v>
      </c>
      <c r="C71" s="15" t="s">
        <v>1513</v>
      </c>
      <c r="D71" s="15" t="s">
        <v>1514</v>
      </c>
      <c r="E71" s="15" t="s">
        <v>1515</v>
      </c>
      <c r="F71" s="15"/>
    </row>
    <row r="72" spans="1:6" ht="33" customHeight="1" x14ac:dyDescent="0.25">
      <c r="A72" s="14" t="s">
        <v>1516</v>
      </c>
      <c r="B72" s="15" t="s">
        <v>1517</v>
      </c>
      <c r="C72" s="15" t="s">
        <v>1518</v>
      </c>
      <c r="D72" s="15" t="s">
        <v>1519</v>
      </c>
      <c r="E72" s="15" t="s">
        <v>1520</v>
      </c>
      <c r="F72" s="15"/>
    </row>
    <row r="73" spans="1:6" ht="18" customHeight="1" x14ac:dyDescent="0.25">
      <c r="A73" s="14" t="s">
        <v>1521</v>
      </c>
      <c r="B73" s="15" t="s">
        <v>1522</v>
      </c>
      <c r="C73" s="15" t="s">
        <v>1523</v>
      </c>
      <c r="D73" s="15" t="s">
        <v>1524</v>
      </c>
      <c r="E73" s="15" t="s">
        <v>1525</v>
      </c>
      <c r="F73" s="15"/>
    </row>
    <row r="74" spans="1:6" ht="18" customHeight="1" x14ac:dyDescent="0.25">
      <c r="A74" s="14" t="s">
        <v>1526</v>
      </c>
      <c r="B74" s="15" t="s">
        <v>1527</v>
      </c>
      <c r="C74" s="15" t="s">
        <v>1528</v>
      </c>
      <c r="D74" s="15" t="s">
        <v>1529</v>
      </c>
      <c r="E74" s="15" t="s">
        <v>1530</v>
      </c>
      <c r="F74" s="15"/>
    </row>
  </sheetData>
  <mergeCells count="9">
    <mergeCell ref="A31:F31"/>
    <mergeCell ref="A41:F41"/>
    <mergeCell ref="A56:F56"/>
    <mergeCell ref="A67:F67"/>
    <mergeCell ref="A1:F1"/>
    <mergeCell ref="A2:F2"/>
    <mergeCell ref="A4:F4"/>
    <mergeCell ref="A18:F18"/>
    <mergeCell ref="A20:F20"/>
  </mergeCells>
  <pageMargins left="0.4" right="0.4" top="0.5" bottom="0.5"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37"/>
  <sheetViews>
    <sheetView topLeftCell="A10" zoomScale="90" zoomScaleNormal="90" workbookViewId="0">
      <selection sqref="A1:G1"/>
    </sheetView>
  </sheetViews>
  <sheetFormatPr defaultColWidth="8.7109375" defaultRowHeight="15" x14ac:dyDescent="0.25"/>
  <cols>
    <col min="1" max="1" width="13" customWidth="1"/>
    <col min="2" max="3" width="30" customWidth="1"/>
    <col min="4" max="5" width="46" customWidth="1"/>
    <col min="6" max="7" width="8" customWidth="1"/>
  </cols>
  <sheetData>
    <row r="1" spans="1:7" ht="21.75" customHeight="1" x14ac:dyDescent="0.3">
      <c r="A1" s="9" t="s">
        <v>1531</v>
      </c>
      <c r="B1" s="9"/>
      <c r="C1" s="9"/>
      <c r="D1" s="9"/>
      <c r="E1" s="9"/>
      <c r="F1" s="9"/>
      <c r="G1" s="9"/>
    </row>
    <row r="2" spans="1:7" ht="15.75" customHeight="1" x14ac:dyDescent="0.25">
      <c r="A2" s="8" t="s">
        <v>1532</v>
      </c>
      <c r="B2" s="8"/>
      <c r="C2" s="8"/>
      <c r="D2" s="8"/>
      <c r="E2" s="8"/>
      <c r="F2" s="8"/>
      <c r="G2" s="8"/>
    </row>
    <row r="4" spans="1:7" ht="18.75" customHeight="1" x14ac:dyDescent="0.25">
      <c r="A4" s="6" t="s">
        <v>1533</v>
      </c>
      <c r="B4" s="6"/>
      <c r="C4" s="6"/>
      <c r="D4" s="6"/>
      <c r="E4" s="6"/>
      <c r="F4" s="6"/>
      <c r="G4" s="6"/>
    </row>
    <row r="5" spans="1:7" ht="18.75" customHeight="1" x14ac:dyDescent="0.25">
      <c r="A5" s="2" t="s">
        <v>1534</v>
      </c>
      <c r="B5" s="2"/>
      <c r="C5" s="1" t="s">
        <v>1535</v>
      </c>
      <c r="D5" s="1"/>
      <c r="E5" s="1"/>
      <c r="F5" s="1"/>
      <c r="G5" s="1"/>
    </row>
    <row r="6" spans="1:7" ht="33.75" customHeight="1" x14ac:dyDescent="0.25">
      <c r="A6" s="2" t="s">
        <v>1536</v>
      </c>
      <c r="B6" s="2"/>
      <c r="C6" s="1" t="s">
        <v>1537</v>
      </c>
      <c r="D6" s="1"/>
      <c r="E6" s="1"/>
      <c r="F6" s="1"/>
      <c r="G6" s="1"/>
    </row>
    <row r="7" spans="1:7" ht="18.75" customHeight="1" x14ac:dyDescent="0.25">
      <c r="A7" s="2" t="s">
        <v>1538</v>
      </c>
      <c r="B7" s="2"/>
      <c r="C7" s="1" t="s">
        <v>1539</v>
      </c>
      <c r="D7" s="1"/>
      <c r="E7" s="1"/>
      <c r="F7" s="1"/>
      <c r="G7" s="1"/>
    </row>
    <row r="8" spans="1:7" ht="33.75" customHeight="1" x14ac:dyDescent="0.25">
      <c r="A8" s="2" t="s">
        <v>1540</v>
      </c>
      <c r="B8" s="2"/>
      <c r="C8" s="1" t="s">
        <v>1541</v>
      </c>
      <c r="D8" s="1"/>
      <c r="E8" s="1"/>
      <c r="F8" s="1"/>
      <c r="G8" s="1"/>
    </row>
    <row r="9" spans="1:7" ht="33.75" customHeight="1" x14ac:dyDescent="0.25">
      <c r="A9" s="2" t="s">
        <v>1542</v>
      </c>
      <c r="B9" s="2"/>
      <c r="C9" s="1" t="s">
        <v>1543</v>
      </c>
      <c r="D9" s="1"/>
      <c r="E9" s="1"/>
      <c r="F9" s="1"/>
      <c r="G9" s="1"/>
    </row>
    <row r="10" spans="1:7" ht="33.75" customHeight="1" x14ac:dyDescent="0.25">
      <c r="A10" s="2" t="s">
        <v>1544</v>
      </c>
      <c r="B10" s="2"/>
      <c r="C10" s="1" t="s">
        <v>1545</v>
      </c>
      <c r="D10" s="1"/>
      <c r="E10" s="1"/>
      <c r="F10" s="1"/>
      <c r="G10" s="1"/>
    </row>
    <row r="11" spans="1:7" ht="18.75" customHeight="1" x14ac:dyDescent="0.25">
      <c r="A11" s="2" t="s">
        <v>1546</v>
      </c>
      <c r="B11" s="2"/>
      <c r="C11" s="1" t="s">
        <v>1547</v>
      </c>
      <c r="D11" s="1"/>
      <c r="E11" s="1"/>
      <c r="F11" s="1"/>
      <c r="G11" s="1"/>
    </row>
    <row r="13" spans="1:7" ht="18.75" customHeight="1" x14ac:dyDescent="0.25">
      <c r="A13" s="6" t="s">
        <v>1548</v>
      </c>
      <c r="B13" s="6"/>
      <c r="C13" s="6"/>
      <c r="D13" s="6"/>
      <c r="E13" s="6"/>
      <c r="F13" s="6"/>
      <c r="G13" s="6"/>
    </row>
    <row r="14" spans="1:7" ht="19.5" customHeight="1" x14ac:dyDescent="0.25">
      <c r="A14" s="12" t="s">
        <v>425</v>
      </c>
      <c r="B14" s="12" t="s">
        <v>684</v>
      </c>
      <c r="C14" s="12" t="s">
        <v>1549</v>
      </c>
      <c r="D14" s="12" t="s">
        <v>1550</v>
      </c>
      <c r="E14" s="12" t="s">
        <v>1551</v>
      </c>
      <c r="F14" s="12" t="s">
        <v>1552</v>
      </c>
      <c r="G14" s="12" t="s">
        <v>1553</v>
      </c>
    </row>
    <row r="15" spans="1:7" ht="18" customHeight="1" x14ac:dyDescent="0.25">
      <c r="A15" s="16" t="s">
        <v>1554</v>
      </c>
      <c r="B15" s="14" t="s">
        <v>1555</v>
      </c>
      <c r="C15" s="15" t="s">
        <v>1556</v>
      </c>
      <c r="D15" s="15" t="s">
        <v>1557</v>
      </c>
      <c r="E15" s="15" t="s">
        <v>1558</v>
      </c>
      <c r="F15" s="16">
        <v>45</v>
      </c>
      <c r="G15" s="16"/>
    </row>
    <row r="16" spans="1:7" ht="33" customHeight="1" x14ac:dyDescent="0.25">
      <c r="A16" s="16" t="s">
        <v>1559</v>
      </c>
      <c r="B16" s="14" t="s">
        <v>1560</v>
      </c>
      <c r="C16" s="15" t="s">
        <v>1561</v>
      </c>
      <c r="D16" s="15" t="s">
        <v>1562</v>
      </c>
      <c r="E16" s="15" t="s">
        <v>1563</v>
      </c>
      <c r="F16" s="16">
        <v>60</v>
      </c>
      <c r="G16" s="16"/>
    </row>
    <row r="17" spans="1:7" ht="33" customHeight="1" x14ac:dyDescent="0.25">
      <c r="A17" s="16" t="s">
        <v>1564</v>
      </c>
      <c r="B17" s="14" t="s">
        <v>1565</v>
      </c>
      <c r="C17" s="15" t="s">
        <v>1566</v>
      </c>
      <c r="D17" s="15" t="s">
        <v>1567</v>
      </c>
      <c r="E17" s="15" t="s">
        <v>1568</v>
      </c>
      <c r="F17" s="16">
        <v>30</v>
      </c>
      <c r="G17" s="16"/>
    </row>
    <row r="18" spans="1:7" ht="18" customHeight="1" x14ac:dyDescent="0.25">
      <c r="A18" s="16" t="s">
        <v>1569</v>
      </c>
      <c r="B18" s="14" t="s">
        <v>1570</v>
      </c>
      <c r="C18" s="15" t="s">
        <v>1571</v>
      </c>
      <c r="D18" s="15" t="s">
        <v>1572</v>
      </c>
      <c r="E18" s="15" t="s">
        <v>1573</v>
      </c>
      <c r="F18" s="16">
        <v>30</v>
      </c>
      <c r="G18" s="16"/>
    </row>
    <row r="19" spans="1:7" ht="33" customHeight="1" x14ac:dyDescent="0.25">
      <c r="A19" s="16" t="s">
        <v>1574</v>
      </c>
      <c r="B19" s="14" t="s">
        <v>1575</v>
      </c>
      <c r="C19" s="15" t="s">
        <v>1576</v>
      </c>
      <c r="D19" s="15" t="s">
        <v>1577</v>
      </c>
      <c r="E19" s="15" t="s">
        <v>1578</v>
      </c>
      <c r="F19" s="16">
        <v>45</v>
      </c>
      <c r="G19" s="16"/>
    </row>
    <row r="20" spans="1:7" ht="33" customHeight="1" x14ac:dyDescent="0.25">
      <c r="A20" s="16" t="s">
        <v>1579</v>
      </c>
      <c r="B20" s="14" t="s">
        <v>1580</v>
      </c>
      <c r="C20" s="15" t="s">
        <v>1581</v>
      </c>
      <c r="D20" s="15" t="s">
        <v>1582</v>
      </c>
      <c r="E20" s="15" t="s">
        <v>1583</v>
      </c>
      <c r="F20" s="16">
        <v>30</v>
      </c>
      <c r="G20" s="16"/>
    </row>
    <row r="21" spans="1:7" ht="33" customHeight="1" x14ac:dyDescent="0.25">
      <c r="A21" s="16" t="s">
        <v>1584</v>
      </c>
      <c r="B21" s="14" t="s">
        <v>1585</v>
      </c>
      <c r="C21" s="15" t="s">
        <v>1586</v>
      </c>
      <c r="D21" s="15" t="s">
        <v>1587</v>
      </c>
      <c r="E21" s="15" t="s">
        <v>1588</v>
      </c>
      <c r="F21" s="16">
        <v>45</v>
      </c>
      <c r="G21" s="16"/>
    </row>
    <row r="22" spans="1:7" ht="33" customHeight="1" x14ac:dyDescent="0.25">
      <c r="A22" s="16" t="s">
        <v>1589</v>
      </c>
      <c r="B22" s="14" t="s">
        <v>613</v>
      </c>
      <c r="C22" s="15" t="s">
        <v>1590</v>
      </c>
      <c r="D22" s="15" t="s">
        <v>1591</v>
      </c>
      <c r="E22" s="15" t="s">
        <v>1592</v>
      </c>
      <c r="F22" s="16">
        <v>60</v>
      </c>
      <c r="G22" s="16"/>
    </row>
    <row r="23" spans="1:7" ht="33" customHeight="1" x14ac:dyDescent="0.25">
      <c r="A23" s="16" t="s">
        <v>1593</v>
      </c>
      <c r="B23" s="14" t="s">
        <v>1594</v>
      </c>
      <c r="C23" s="15" t="s">
        <v>1595</v>
      </c>
      <c r="D23" s="15" t="s">
        <v>1596</v>
      </c>
      <c r="E23" s="15" t="s">
        <v>1597</v>
      </c>
      <c r="F23" s="16">
        <v>45</v>
      </c>
      <c r="G23" s="16"/>
    </row>
    <row r="24" spans="1:7" ht="33" customHeight="1" x14ac:dyDescent="0.25">
      <c r="A24" s="16" t="s">
        <v>1598</v>
      </c>
      <c r="B24" s="14" t="s">
        <v>1599</v>
      </c>
      <c r="C24" s="15" t="s">
        <v>1600</v>
      </c>
      <c r="D24" s="15" t="s">
        <v>1601</v>
      </c>
      <c r="E24" s="15" t="s">
        <v>1602</v>
      </c>
      <c r="F24" s="16">
        <v>30</v>
      </c>
      <c r="G24" s="16"/>
    </row>
    <row r="25" spans="1:7" ht="33" customHeight="1" x14ac:dyDescent="0.25">
      <c r="A25" s="16" t="s">
        <v>1603</v>
      </c>
      <c r="B25" s="14" t="s">
        <v>1604</v>
      </c>
      <c r="C25" s="15" t="s">
        <v>1605</v>
      </c>
      <c r="D25" s="15" t="s">
        <v>1606</v>
      </c>
      <c r="E25" s="15" t="s">
        <v>1607</v>
      </c>
      <c r="F25" s="16">
        <v>45</v>
      </c>
      <c r="G25" s="16"/>
    </row>
    <row r="26" spans="1:7" ht="33" customHeight="1" x14ac:dyDescent="0.25">
      <c r="A26" s="16" t="s">
        <v>1608</v>
      </c>
      <c r="B26" s="14" t="s">
        <v>1609</v>
      </c>
      <c r="C26" s="15" t="s">
        <v>1610</v>
      </c>
      <c r="D26" s="15" t="s">
        <v>1611</v>
      </c>
      <c r="E26" s="15" t="s">
        <v>1612</v>
      </c>
      <c r="F26" s="16">
        <v>30</v>
      </c>
      <c r="G26" s="16"/>
    </row>
    <row r="27" spans="1:7" ht="33" customHeight="1" x14ac:dyDescent="0.25">
      <c r="A27" s="16" t="s">
        <v>1613</v>
      </c>
      <c r="B27" s="14" t="s">
        <v>1614</v>
      </c>
      <c r="C27" s="15" t="s">
        <v>1615</v>
      </c>
      <c r="D27" s="15" t="s">
        <v>1616</v>
      </c>
      <c r="E27" s="15" t="s">
        <v>1617</v>
      </c>
      <c r="F27" s="16">
        <v>45</v>
      </c>
      <c r="G27" s="16"/>
    </row>
    <row r="28" spans="1:7" ht="18" customHeight="1" x14ac:dyDescent="0.25">
      <c r="A28" s="16" t="s">
        <v>1618</v>
      </c>
      <c r="B28" s="14" t="s">
        <v>1619</v>
      </c>
      <c r="C28" s="15" t="s">
        <v>1620</v>
      </c>
      <c r="D28" s="15"/>
      <c r="E28" s="15" t="s">
        <v>1621</v>
      </c>
      <c r="F28" s="16">
        <v>45</v>
      </c>
      <c r="G28" s="16"/>
    </row>
    <row r="29" spans="1:7" ht="18" customHeight="1" x14ac:dyDescent="0.25">
      <c r="A29" s="16" t="s">
        <v>1622</v>
      </c>
      <c r="B29" s="14" t="s">
        <v>1623</v>
      </c>
      <c r="C29" s="15" t="s">
        <v>1624</v>
      </c>
      <c r="D29" s="15" t="s">
        <v>1625</v>
      </c>
      <c r="E29" s="15" t="s">
        <v>1626</v>
      </c>
      <c r="F29" s="16">
        <v>30</v>
      </c>
      <c r="G29" s="16"/>
    </row>
    <row r="30" spans="1:7" ht="33" customHeight="1" x14ac:dyDescent="0.25">
      <c r="A30" s="16" t="s">
        <v>1627</v>
      </c>
      <c r="B30" s="14" t="s">
        <v>663</v>
      </c>
      <c r="C30" s="15" t="s">
        <v>1628</v>
      </c>
      <c r="D30" s="15" t="s">
        <v>1629</v>
      </c>
      <c r="E30" s="15" t="s">
        <v>1630</v>
      </c>
      <c r="F30" s="16">
        <v>45</v>
      </c>
      <c r="G30" s="16"/>
    </row>
    <row r="31" spans="1:7" ht="18" customHeight="1" x14ac:dyDescent="0.25">
      <c r="A31" s="16" t="s">
        <v>1631</v>
      </c>
      <c r="B31" s="14" t="s">
        <v>1632</v>
      </c>
      <c r="C31" s="15" t="s">
        <v>1633</v>
      </c>
      <c r="D31" s="15" t="s">
        <v>1634</v>
      </c>
      <c r="E31" s="15" t="s">
        <v>1635</v>
      </c>
      <c r="F31" s="16">
        <v>30</v>
      </c>
      <c r="G31" s="16"/>
    </row>
    <row r="32" spans="1:7" ht="33" customHeight="1" x14ac:dyDescent="0.25">
      <c r="A32" s="16" t="s">
        <v>1636</v>
      </c>
      <c r="B32" s="14" t="s">
        <v>1637</v>
      </c>
      <c r="C32" s="15" t="s">
        <v>1638</v>
      </c>
      <c r="D32" s="15" t="s">
        <v>1639</v>
      </c>
      <c r="E32" s="15" t="s">
        <v>1640</v>
      </c>
      <c r="F32" s="16">
        <v>30</v>
      </c>
      <c r="G32" s="16"/>
    </row>
    <row r="33" spans="1:7" ht="33" customHeight="1" x14ac:dyDescent="0.25">
      <c r="A33" s="16" t="s">
        <v>1641</v>
      </c>
      <c r="B33" s="14" t="s">
        <v>1642</v>
      </c>
      <c r="C33" s="15" t="s">
        <v>1643</v>
      </c>
      <c r="D33" s="15" t="s">
        <v>1644</v>
      </c>
      <c r="E33" s="15" t="s">
        <v>1645</v>
      </c>
      <c r="F33" s="16">
        <v>30</v>
      </c>
      <c r="G33" s="16"/>
    </row>
    <row r="34" spans="1:7" ht="33" customHeight="1" x14ac:dyDescent="0.25">
      <c r="A34" s="16" t="s">
        <v>1646</v>
      </c>
      <c r="B34" s="14" t="s">
        <v>1647</v>
      </c>
      <c r="C34" s="15" t="s">
        <v>1648</v>
      </c>
      <c r="D34" s="15" t="s">
        <v>1649</v>
      </c>
      <c r="E34" s="15" t="s">
        <v>1650</v>
      </c>
      <c r="F34" s="16">
        <v>45</v>
      </c>
      <c r="G34" s="16"/>
    </row>
    <row r="35" spans="1:7" ht="33" customHeight="1" x14ac:dyDescent="0.25">
      <c r="A35" s="16" t="s">
        <v>1651</v>
      </c>
      <c r="B35" s="14" t="s">
        <v>1652</v>
      </c>
      <c r="C35" s="15" t="s">
        <v>1653</v>
      </c>
      <c r="D35" s="15"/>
      <c r="E35" s="15" t="s">
        <v>1654</v>
      </c>
      <c r="F35" s="16">
        <v>60</v>
      </c>
      <c r="G35" s="16"/>
    </row>
    <row r="36" spans="1:7" x14ac:dyDescent="0.25">
      <c r="E36" s="38" t="s">
        <v>1655</v>
      </c>
      <c r="F36" s="39">
        <f>ROUND(SUM(F15:F35)/60,1)</f>
        <v>14.3</v>
      </c>
    </row>
    <row r="37" spans="1:7" x14ac:dyDescent="0.25">
      <c r="E37" s="38" t="s">
        <v>1656</v>
      </c>
      <c r="F37" s="39" t="str">
        <f>COUNTIF(G15:G35,"✓")&amp;"/"&amp;ROWS(G15:G35)</f>
        <v>0/21</v>
      </c>
    </row>
  </sheetData>
  <mergeCells count="18">
    <mergeCell ref="A13:G13"/>
    <mergeCell ref="A9:B9"/>
    <mergeCell ref="C9:G9"/>
    <mergeCell ref="A10:B10"/>
    <mergeCell ref="C10:G10"/>
    <mergeCell ref="A11:B11"/>
    <mergeCell ref="C11:G11"/>
    <mergeCell ref="A6:B6"/>
    <mergeCell ref="C6:G6"/>
    <mergeCell ref="A7:B7"/>
    <mergeCell ref="C7:G7"/>
    <mergeCell ref="A8:B8"/>
    <mergeCell ref="C8:G8"/>
    <mergeCell ref="A1:G1"/>
    <mergeCell ref="A2:G2"/>
    <mergeCell ref="A4:G4"/>
    <mergeCell ref="A5:B5"/>
    <mergeCell ref="C5:G5"/>
  </mergeCells>
  <conditionalFormatting sqref="A15:G35">
    <cfRule type="expression" dxfId="1" priority="2">
      <formula>$G15="✓"</formula>
    </cfRule>
  </conditionalFormatting>
  <dataValidations count="1">
    <dataValidation type="list" allowBlank="1" sqref="G15:G35" xr:uid="{00000000-0002-0000-0900-000000000000}">
      <formula1>"✓"</formula1>
      <formula2>0</formula2>
    </dataValidation>
  </dataValidations>
  <pageMargins left="0.4" right="0.4" top="0.5" bottom="0.5"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38"/>
  <sheetViews>
    <sheetView zoomScale="90" zoomScaleNormal="90" workbookViewId="0">
      <selection sqref="A1:E1"/>
    </sheetView>
  </sheetViews>
  <sheetFormatPr defaultColWidth="8.7109375" defaultRowHeight="15" x14ac:dyDescent="0.25"/>
  <cols>
    <col min="1" max="1" width="14" customWidth="1"/>
    <col min="2" max="2" width="16" customWidth="1"/>
    <col min="3" max="3" width="40" customWidth="1"/>
    <col min="4" max="4" width="24" customWidth="1"/>
    <col min="5" max="5" width="58" customWidth="1"/>
  </cols>
  <sheetData>
    <row r="1" spans="1:5" ht="21.75" customHeight="1" x14ac:dyDescent="0.3">
      <c r="A1" s="9" t="s">
        <v>1657</v>
      </c>
      <c r="B1" s="9"/>
      <c r="C1" s="9"/>
      <c r="D1" s="9"/>
      <c r="E1" s="9"/>
    </row>
    <row r="3" spans="1:5" ht="18.75" customHeight="1" x14ac:dyDescent="0.25">
      <c r="A3" s="6" t="s">
        <v>1658</v>
      </c>
      <c r="B3" s="6"/>
      <c r="C3" s="6"/>
      <c r="D3" s="6"/>
      <c r="E3" s="6"/>
    </row>
    <row r="4" spans="1:5" ht="18.75" customHeight="1" x14ac:dyDescent="0.25">
      <c r="A4" s="2" t="s">
        <v>1659</v>
      </c>
      <c r="B4" s="2"/>
      <c r="C4" s="1" t="s">
        <v>1660</v>
      </c>
      <c r="D4" s="1"/>
      <c r="E4" s="1"/>
    </row>
    <row r="5" spans="1:5" ht="33.75" customHeight="1" x14ac:dyDescent="0.25">
      <c r="A5" s="2" t="s">
        <v>1661</v>
      </c>
      <c r="B5" s="2"/>
      <c r="C5" s="1" t="s">
        <v>1662</v>
      </c>
      <c r="D5" s="1"/>
      <c r="E5" s="1"/>
    </row>
    <row r="6" spans="1:5" ht="18.75" customHeight="1" x14ac:dyDescent="0.25">
      <c r="A6" s="2" t="s">
        <v>1663</v>
      </c>
      <c r="B6" s="2"/>
      <c r="C6" s="1" t="s">
        <v>1664</v>
      </c>
      <c r="D6" s="1"/>
      <c r="E6" s="1"/>
    </row>
    <row r="7" spans="1:5" ht="18.75" customHeight="1" x14ac:dyDescent="0.25">
      <c r="A7" s="2" t="s">
        <v>1665</v>
      </c>
      <c r="B7" s="2"/>
      <c r="C7" s="1" t="s">
        <v>1666</v>
      </c>
      <c r="D7" s="1"/>
      <c r="E7" s="1"/>
    </row>
    <row r="8" spans="1:5" ht="18.75" customHeight="1" x14ac:dyDescent="0.25">
      <c r="A8" s="2" t="s">
        <v>1667</v>
      </c>
      <c r="B8" s="2"/>
      <c r="C8" s="1" t="s">
        <v>1668</v>
      </c>
      <c r="D8" s="1"/>
      <c r="E8" s="1"/>
    </row>
    <row r="9" spans="1:5" ht="18.75" customHeight="1" x14ac:dyDescent="0.25">
      <c r="A9" s="2" t="s">
        <v>1669</v>
      </c>
      <c r="B9" s="2"/>
      <c r="C9" s="1" t="s">
        <v>1670</v>
      </c>
      <c r="D9" s="1"/>
      <c r="E9" s="1"/>
    </row>
    <row r="10" spans="1:5" ht="18.75" customHeight="1" x14ac:dyDescent="0.25">
      <c r="A10" s="2" t="s">
        <v>1671</v>
      </c>
      <c r="B10" s="2"/>
      <c r="C10" s="1" t="s">
        <v>1672</v>
      </c>
      <c r="D10" s="1"/>
      <c r="E10" s="1"/>
    </row>
    <row r="11" spans="1:5" ht="18.75" customHeight="1" x14ac:dyDescent="0.25">
      <c r="A11" s="2" t="s">
        <v>1673</v>
      </c>
      <c r="B11" s="2"/>
      <c r="C11" s="1" t="s">
        <v>1674</v>
      </c>
      <c r="D11" s="1"/>
      <c r="E11" s="1"/>
    </row>
    <row r="13" spans="1:5" ht="18.75" customHeight="1" x14ac:dyDescent="0.25">
      <c r="A13" s="6" t="s">
        <v>1675</v>
      </c>
      <c r="B13" s="6"/>
      <c r="C13" s="6"/>
      <c r="D13" s="6"/>
      <c r="E13" s="6"/>
    </row>
    <row r="14" spans="1:5" ht="19.5" customHeight="1" x14ac:dyDescent="0.25">
      <c r="A14" s="12" t="s">
        <v>425</v>
      </c>
      <c r="B14" s="12" t="s">
        <v>570</v>
      </c>
      <c r="C14" s="12" t="s">
        <v>1676</v>
      </c>
      <c r="D14" s="12" t="s">
        <v>1677</v>
      </c>
      <c r="E14" s="12" t="s">
        <v>9</v>
      </c>
    </row>
    <row r="15" spans="1:5" ht="18" customHeight="1" x14ac:dyDescent="0.25">
      <c r="A15" s="16" t="s">
        <v>433</v>
      </c>
      <c r="B15" s="15" t="s">
        <v>577</v>
      </c>
      <c r="C15" s="14" t="s">
        <v>190</v>
      </c>
      <c r="D15" s="15" t="s">
        <v>1678</v>
      </c>
      <c r="E15" s="15" t="s">
        <v>1679</v>
      </c>
    </row>
    <row r="16" spans="1:5" ht="18" customHeight="1" x14ac:dyDescent="0.25">
      <c r="A16" s="16" t="s">
        <v>433</v>
      </c>
      <c r="B16" s="15" t="s">
        <v>577</v>
      </c>
      <c r="C16" s="14" t="s">
        <v>1680</v>
      </c>
      <c r="D16" s="15" t="s">
        <v>1681</v>
      </c>
      <c r="E16" s="15" t="s">
        <v>1682</v>
      </c>
    </row>
    <row r="17" spans="1:5" ht="18" customHeight="1" x14ac:dyDescent="0.25">
      <c r="A17" s="16" t="s">
        <v>468</v>
      </c>
      <c r="B17" s="15" t="s">
        <v>596</v>
      </c>
      <c r="C17" s="14" t="s">
        <v>1683</v>
      </c>
      <c r="D17" s="15" t="s">
        <v>1684</v>
      </c>
      <c r="E17" s="15" t="s">
        <v>1685</v>
      </c>
    </row>
    <row r="18" spans="1:5" ht="18" customHeight="1" x14ac:dyDescent="0.25">
      <c r="A18" s="16" t="s">
        <v>473</v>
      </c>
      <c r="B18" s="15" t="s">
        <v>596</v>
      </c>
      <c r="C18" s="14" t="s">
        <v>1686</v>
      </c>
      <c r="D18" s="15" t="s">
        <v>1687</v>
      </c>
      <c r="E18" s="15" t="s">
        <v>1688</v>
      </c>
    </row>
    <row r="19" spans="1:5" ht="18" customHeight="1" x14ac:dyDescent="0.25">
      <c r="A19" s="16" t="s">
        <v>485</v>
      </c>
      <c r="B19" s="15" t="s">
        <v>596</v>
      </c>
      <c r="C19" s="14" t="s">
        <v>1689</v>
      </c>
      <c r="D19" s="15" t="s">
        <v>1690</v>
      </c>
      <c r="E19" s="15" t="s">
        <v>1691</v>
      </c>
    </row>
    <row r="20" spans="1:5" ht="18" customHeight="1" x14ac:dyDescent="0.25">
      <c r="A20" s="16" t="s">
        <v>1692</v>
      </c>
      <c r="B20" s="15" t="s">
        <v>613</v>
      </c>
      <c r="C20" s="14" t="s">
        <v>1693</v>
      </c>
      <c r="D20" s="15" t="s">
        <v>1694</v>
      </c>
      <c r="E20" s="15" t="s">
        <v>1695</v>
      </c>
    </row>
    <row r="21" spans="1:5" ht="18" customHeight="1" x14ac:dyDescent="0.25">
      <c r="A21" s="16" t="s">
        <v>498</v>
      </c>
      <c r="B21" s="15" t="s">
        <v>613</v>
      </c>
      <c r="C21" s="14" t="s">
        <v>1696</v>
      </c>
      <c r="D21" s="15" t="s">
        <v>1697</v>
      </c>
      <c r="E21" s="15" t="s">
        <v>1698</v>
      </c>
    </row>
    <row r="22" spans="1:5" ht="18" customHeight="1" x14ac:dyDescent="0.25">
      <c r="A22" s="16" t="s">
        <v>632</v>
      </c>
      <c r="B22" s="15" t="s">
        <v>630</v>
      </c>
      <c r="C22" s="14" t="s">
        <v>1699</v>
      </c>
      <c r="D22" s="15" t="s">
        <v>1700</v>
      </c>
      <c r="E22" s="15" t="s">
        <v>1701</v>
      </c>
    </row>
    <row r="23" spans="1:5" ht="33" customHeight="1" x14ac:dyDescent="0.25">
      <c r="A23" s="16" t="s">
        <v>632</v>
      </c>
      <c r="B23" s="15" t="s">
        <v>636</v>
      </c>
      <c r="C23" s="14" t="s">
        <v>1702</v>
      </c>
      <c r="D23" s="15" t="s">
        <v>1703</v>
      </c>
      <c r="E23" s="15" t="s">
        <v>1704</v>
      </c>
    </row>
    <row r="24" spans="1:5" ht="18" customHeight="1" x14ac:dyDescent="0.25">
      <c r="A24" s="16" t="s">
        <v>519</v>
      </c>
      <c r="B24" s="15" t="s">
        <v>641</v>
      </c>
      <c r="C24" s="14" t="s">
        <v>1705</v>
      </c>
      <c r="D24" s="15" t="s">
        <v>1706</v>
      </c>
      <c r="E24" s="15" t="s">
        <v>1707</v>
      </c>
    </row>
    <row r="25" spans="1:5" ht="18" customHeight="1" x14ac:dyDescent="0.25">
      <c r="A25" s="16" t="s">
        <v>529</v>
      </c>
      <c r="B25" s="15" t="s">
        <v>654</v>
      </c>
      <c r="C25" s="14" t="s">
        <v>1708</v>
      </c>
      <c r="D25" s="15" t="s">
        <v>1690</v>
      </c>
      <c r="E25" s="15" t="s">
        <v>1709</v>
      </c>
    </row>
    <row r="26" spans="1:5" ht="18" customHeight="1" x14ac:dyDescent="0.25">
      <c r="A26" s="16" t="s">
        <v>529</v>
      </c>
      <c r="B26" s="15" t="s">
        <v>659</v>
      </c>
      <c r="C26" s="14" t="s">
        <v>1710</v>
      </c>
      <c r="D26" s="15" t="s">
        <v>1711</v>
      </c>
      <c r="E26" s="15" t="s">
        <v>1712</v>
      </c>
    </row>
    <row r="27" spans="1:5" ht="18" customHeight="1" x14ac:dyDescent="0.25">
      <c r="A27" s="16" t="s">
        <v>542</v>
      </c>
      <c r="B27" s="15" t="s">
        <v>641</v>
      </c>
      <c r="C27" s="14" t="s">
        <v>1713</v>
      </c>
      <c r="D27" s="15" t="s">
        <v>1690</v>
      </c>
      <c r="E27" s="15" t="s">
        <v>1714</v>
      </c>
    </row>
    <row r="28" spans="1:5" ht="18" customHeight="1" x14ac:dyDescent="0.25">
      <c r="A28" s="16" t="s">
        <v>542</v>
      </c>
      <c r="B28" s="15" t="s">
        <v>663</v>
      </c>
      <c r="C28" s="14" t="s">
        <v>1715</v>
      </c>
      <c r="D28" s="15" t="s">
        <v>1716</v>
      </c>
      <c r="E28" s="15" t="s">
        <v>1717</v>
      </c>
    </row>
    <row r="29" spans="1:5" ht="18" customHeight="1" x14ac:dyDescent="0.25">
      <c r="A29" s="16" t="s">
        <v>548</v>
      </c>
      <c r="B29" s="15" t="s">
        <v>663</v>
      </c>
      <c r="C29" s="14" t="s">
        <v>1718</v>
      </c>
      <c r="D29" s="15" t="s">
        <v>1690</v>
      </c>
      <c r="E29" s="15" t="s">
        <v>1719</v>
      </c>
    </row>
    <row r="31" spans="1:5" ht="18.75" customHeight="1" x14ac:dyDescent="0.25">
      <c r="A31" s="6" t="s">
        <v>1720</v>
      </c>
      <c r="B31" s="6"/>
      <c r="C31" s="6"/>
      <c r="D31" s="6"/>
      <c r="E31" s="6"/>
    </row>
    <row r="32" spans="1:5" ht="19.5" customHeight="1" x14ac:dyDescent="0.25">
      <c r="A32" s="12" t="s">
        <v>570</v>
      </c>
      <c r="B32" s="12" t="s">
        <v>425</v>
      </c>
      <c r="C32" s="12" t="s">
        <v>1721</v>
      </c>
      <c r="D32" s="12" t="s">
        <v>1722</v>
      </c>
      <c r="E32" s="12" t="s">
        <v>9</v>
      </c>
    </row>
    <row r="33" spans="1:5" ht="33" customHeight="1" x14ac:dyDescent="0.25">
      <c r="A33" s="14" t="s">
        <v>577</v>
      </c>
      <c r="B33" s="15" t="s">
        <v>1723</v>
      </c>
      <c r="C33" s="15" t="s">
        <v>1724</v>
      </c>
      <c r="D33" s="15" t="s">
        <v>1725</v>
      </c>
      <c r="E33" s="15" t="s">
        <v>1726</v>
      </c>
    </row>
    <row r="34" spans="1:5" ht="18" customHeight="1" x14ac:dyDescent="0.25">
      <c r="A34" s="14" t="s">
        <v>596</v>
      </c>
      <c r="B34" s="15" t="s">
        <v>1727</v>
      </c>
      <c r="C34" s="15" t="s">
        <v>1728</v>
      </c>
      <c r="D34" s="15" t="s">
        <v>1729</v>
      </c>
      <c r="E34" s="15" t="s">
        <v>1730</v>
      </c>
    </row>
    <row r="35" spans="1:5" ht="18" customHeight="1" x14ac:dyDescent="0.25">
      <c r="A35" s="14" t="s">
        <v>613</v>
      </c>
      <c r="B35" s="15" t="s">
        <v>1731</v>
      </c>
      <c r="C35" s="15" t="s">
        <v>1732</v>
      </c>
      <c r="D35" s="15" t="s">
        <v>1733</v>
      </c>
      <c r="E35" s="15" t="s">
        <v>1734</v>
      </c>
    </row>
    <row r="36" spans="1:5" ht="18" customHeight="1" x14ac:dyDescent="0.25">
      <c r="A36" s="14" t="s">
        <v>636</v>
      </c>
      <c r="B36" s="15" t="s">
        <v>1735</v>
      </c>
      <c r="C36" s="15" t="s">
        <v>1736</v>
      </c>
      <c r="D36" s="15" t="s">
        <v>1737</v>
      </c>
      <c r="E36" s="15" t="s">
        <v>1738</v>
      </c>
    </row>
    <row r="37" spans="1:5" ht="33" customHeight="1" x14ac:dyDescent="0.25">
      <c r="A37" s="18" t="s">
        <v>641</v>
      </c>
      <c r="B37" s="19" t="s">
        <v>1739</v>
      </c>
      <c r="C37" s="19" t="s">
        <v>1740</v>
      </c>
      <c r="D37" s="19" t="s">
        <v>1741</v>
      </c>
      <c r="E37" s="19" t="s">
        <v>1742</v>
      </c>
    </row>
    <row r="38" spans="1:5" ht="33" customHeight="1" x14ac:dyDescent="0.25">
      <c r="A38" s="14" t="s">
        <v>663</v>
      </c>
      <c r="B38" s="15" t="s">
        <v>1743</v>
      </c>
      <c r="C38" s="15" t="s">
        <v>1744</v>
      </c>
      <c r="D38" s="15" t="s">
        <v>1745</v>
      </c>
      <c r="E38" s="15" t="s">
        <v>1746</v>
      </c>
    </row>
  </sheetData>
  <mergeCells count="20">
    <mergeCell ref="A13:E13"/>
    <mergeCell ref="A31:E31"/>
    <mergeCell ref="A9:B9"/>
    <mergeCell ref="C9:E9"/>
    <mergeCell ref="A10:B10"/>
    <mergeCell ref="C10:E10"/>
    <mergeCell ref="A11:B11"/>
    <mergeCell ref="C11:E11"/>
    <mergeCell ref="A6:B6"/>
    <mergeCell ref="C6:E6"/>
    <mergeCell ref="A7:B7"/>
    <mergeCell ref="C7:E7"/>
    <mergeCell ref="A8:B8"/>
    <mergeCell ref="C8:E8"/>
    <mergeCell ref="A1:E1"/>
    <mergeCell ref="A3:E3"/>
    <mergeCell ref="A4:B4"/>
    <mergeCell ref="C4:E4"/>
    <mergeCell ref="A5:B5"/>
    <mergeCell ref="C5:E5"/>
  </mergeCells>
  <pageMargins left="0.4" right="0.4" top="0.5" bottom="0.5"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45"/>
  <sheetViews>
    <sheetView topLeftCell="A17" zoomScale="90" zoomScaleNormal="90" workbookViewId="0">
      <selection activeCell="F32" sqref="F32"/>
    </sheetView>
  </sheetViews>
  <sheetFormatPr defaultColWidth="8.7109375" defaultRowHeight="15" x14ac:dyDescent="0.25"/>
  <cols>
    <col min="1" max="1" width="20" customWidth="1"/>
    <col min="2" max="2" width="12" customWidth="1"/>
    <col min="3" max="3" width="22" customWidth="1"/>
    <col min="4" max="4" width="26" customWidth="1"/>
    <col min="5" max="5" width="16" customWidth="1"/>
    <col min="6" max="6" width="44" customWidth="1"/>
    <col min="7" max="7" width="43.140625" customWidth="1"/>
  </cols>
  <sheetData>
    <row r="1" spans="1:6" ht="21.75" customHeight="1" x14ac:dyDescent="0.3">
      <c r="A1" s="9" t="s">
        <v>1747</v>
      </c>
      <c r="B1" s="9"/>
      <c r="C1" s="9"/>
      <c r="D1" s="9"/>
      <c r="E1" s="9"/>
      <c r="F1" s="9"/>
    </row>
    <row r="2" spans="1:6" ht="15.75" customHeight="1" x14ac:dyDescent="0.25">
      <c r="A2" s="8" t="s">
        <v>1748</v>
      </c>
      <c r="B2" s="8"/>
      <c r="C2" s="8"/>
      <c r="D2" s="8"/>
      <c r="E2" s="8"/>
      <c r="F2" s="8"/>
    </row>
    <row r="4" spans="1:6" ht="18.75" customHeight="1" x14ac:dyDescent="0.25">
      <c r="A4" s="6" t="s">
        <v>1749</v>
      </c>
      <c r="B4" s="6"/>
      <c r="C4" s="6"/>
      <c r="D4" s="6"/>
      <c r="E4" s="6"/>
      <c r="F4" s="6"/>
    </row>
    <row r="5" spans="1:6" ht="19.5" customHeight="1" x14ac:dyDescent="0.25">
      <c r="A5" s="12" t="s">
        <v>570</v>
      </c>
      <c r="B5" s="12" t="s">
        <v>1750</v>
      </c>
      <c r="C5" s="12" t="s">
        <v>1751</v>
      </c>
      <c r="D5" s="12" t="s">
        <v>1752</v>
      </c>
      <c r="E5" s="12" t="s">
        <v>1753</v>
      </c>
      <c r="F5" s="12" t="s">
        <v>1754</v>
      </c>
    </row>
    <row r="6" spans="1:6" ht="18" customHeight="1" x14ac:dyDescent="0.25">
      <c r="A6" s="14" t="s">
        <v>577</v>
      </c>
      <c r="B6" s="16" t="s">
        <v>1755</v>
      </c>
      <c r="C6" s="15" t="s">
        <v>1756</v>
      </c>
      <c r="D6" s="15" t="s">
        <v>1757</v>
      </c>
      <c r="E6" s="16" t="s">
        <v>1758</v>
      </c>
      <c r="F6" s="15" t="s">
        <v>1759</v>
      </c>
    </row>
    <row r="7" spans="1:6" ht="18" customHeight="1" x14ac:dyDescent="0.25">
      <c r="A7" s="14" t="s">
        <v>596</v>
      </c>
      <c r="B7" s="16" t="s">
        <v>1760</v>
      </c>
      <c r="C7" s="15" t="s">
        <v>1761</v>
      </c>
      <c r="D7" s="15" t="s">
        <v>1762</v>
      </c>
      <c r="E7" s="16" t="s">
        <v>1763</v>
      </c>
      <c r="F7" s="15" t="s">
        <v>1764</v>
      </c>
    </row>
    <row r="8" spans="1:6" ht="18" customHeight="1" x14ac:dyDescent="0.25">
      <c r="A8" s="14" t="s">
        <v>613</v>
      </c>
      <c r="B8" s="16" t="s">
        <v>1765</v>
      </c>
      <c r="C8" s="15" t="s">
        <v>1766</v>
      </c>
      <c r="D8" s="15" t="s">
        <v>1767</v>
      </c>
      <c r="E8" s="16" t="s">
        <v>1768</v>
      </c>
      <c r="F8" s="15" t="s">
        <v>1769</v>
      </c>
    </row>
    <row r="9" spans="1:6" ht="18" customHeight="1" x14ac:dyDescent="0.25">
      <c r="A9" s="14" t="s">
        <v>816</v>
      </c>
      <c r="B9" s="16" t="s">
        <v>514</v>
      </c>
      <c r="C9" s="15" t="s">
        <v>1770</v>
      </c>
      <c r="D9" s="15" t="s">
        <v>1762</v>
      </c>
      <c r="E9" s="16" t="s">
        <v>1771</v>
      </c>
      <c r="F9" s="15" t="s">
        <v>1772</v>
      </c>
    </row>
    <row r="10" spans="1:6" ht="18" customHeight="1" x14ac:dyDescent="0.25">
      <c r="A10" s="14" t="s">
        <v>641</v>
      </c>
      <c r="B10" s="16" t="s">
        <v>1773</v>
      </c>
      <c r="C10" s="15" t="s">
        <v>1774</v>
      </c>
      <c r="D10" s="15" t="s">
        <v>1775</v>
      </c>
      <c r="E10" s="16" t="s">
        <v>1776</v>
      </c>
      <c r="F10" s="15" t="s">
        <v>1777</v>
      </c>
    </row>
    <row r="11" spans="1:6" ht="18" customHeight="1" x14ac:dyDescent="0.25">
      <c r="A11" s="14" t="s">
        <v>1778</v>
      </c>
      <c r="B11" s="16" t="s">
        <v>529</v>
      </c>
      <c r="C11" s="15" t="s">
        <v>1779</v>
      </c>
      <c r="D11" s="15" t="s">
        <v>1780</v>
      </c>
      <c r="E11" s="16" t="s">
        <v>1781</v>
      </c>
      <c r="F11" s="15" t="s">
        <v>1782</v>
      </c>
    </row>
    <row r="12" spans="1:6" ht="33" customHeight="1" x14ac:dyDescent="0.25">
      <c r="A12" s="14" t="s">
        <v>663</v>
      </c>
      <c r="B12" s="16" t="s">
        <v>1783</v>
      </c>
      <c r="C12" s="15" t="s">
        <v>1784</v>
      </c>
      <c r="D12" s="15" t="s">
        <v>1785</v>
      </c>
      <c r="E12" s="16" t="s">
        <v>1786</v>
      </c>
      <c r="F12" s="15" t="s">
        <v>1787</v>
      </c>
    </row>
    <row r="14" spans="1:6" ht="18.75" customHeight="1" x14ac:dyDescent="0.25">
      <c r="A14" s="6" t="s">
        <v>1788</v>
      </c>
      <c r="B14" s="6"/>
      <c r="C14" s="6"/>
      <c r="D14" s="6"/>
      <c r="E14" s="6"/>
      <c r="F14" s="6"/>
    </row>
    <row r="15" spans="1:6" ht="19.5" customHeight="1" thickBot="1" x14ac:dyDescent="0.3">
      <c r="A15" s="49" t="s">
        <v>885</v>
      </c>
      <c r="B15" s="50" t="s">
        <v>1789</v>
      </c>
      <c r="C15" s="50"/>
      <c r="D15" s="50"/>
      <c r="E15" s="50"/>
      <c r="F15" s="49" t="s">
        <v>1790</v>
      </c>
    </row>
    <row r="16" spans="1:6" ht="18" customHeight="1" x14ac:dyDescent="0.25">
      <c r="A16" s="41" t="s">
        <v>1791</v>
      </c>
      <c r="B16" s="42" t="s">
        <v>1792</v>
      </c>
      <c r="C16" s="42"/>
      <c r="D16" s="42"/>
      <c r="E16" s="42"/>
      <c r="F16" s="43"/>
    </row>
    <row r="17" spans="1:6" ht="18" customHeight="1" x14ac:dyDescent="0.25">
      <c r="A17" s="44" t="s">
        <v>1791</v>
      </c>
      <c r="B17" s="1" t="s">
        <v>1793</v>
      </c>
      <c r="C17" s="1"/>
      <c r="D17" s="1"/>
      <c r="E17" s="1"/>
      <c r="F17" s="45"/>
    </row>
    <row r="18" spans="1:6" ht="18" customHeight="1" x14ac:dyDescent="0.25">
      <c r="A18" s="44" t="s">
        <v>1791</v>
      </c>
      <c r="B18" s="1" t="s">
        <v>1794</v>
      </c>
      <c r="C18" s="1"/>
      <c r="D18" s="1"/>
      <c r="E18" s="1"/>
      <c r="F18" s="45"/>
    </row>
    <row r="19" spans="1:6" ht="18" customHeight="1" x14ac:dyDescent="0.25">
      <c r="A19" s="44" t="s">
        <v>1791</v>
      </c>
      <c r="B19" s="1" t="s">
        <v>1795</v>
      </c>
      <c r="C19" s="1"/>
      <c r="D19" s="1"/>
      <c r="E19" s="1"/>
      <c r="F19" s="45"/>
    </row>
    <row r="20" spans="1:6" ht="18" customHeight="1" x14ac:dyDescent="0.25">
      <c r="A20" s="44" t="s">
        <v>1791</v>
      </c>
      <c r="B20" s="1" t="s">
        <v>1796</v>
      </c>
      <c r="C20" s="1"/>
      <c r="D20" s="1"/>
      <c r="E20" s="1"/>
      <c r="F20" s="45"/>
    </row>
    <row r="21" spans="1:6" ht="18" customHeight="1" x14ac:dyDescent="0.25">
      <c r="A21" s="44" t="s">
        <v>1791</v>
      </c>
      <c r="B21" s="1" t="s">
        <v>1797</v>
      </c>
      <c r="C21" s="1"/>
      <c r="D21" s="1"/>
      <c r="E21" s="1"/>
      <c r="F21" s="45"/>
    </row>
    <row r="22" spans="1:6" ht="18" customHeight="1" thickBot="1" x14ac:dyDescent="0.3">
      <c r="A22" s="46" t="s">
        <v>1791</v>
      </c>
      <c r="B22" s="47" t="s">
        <v>1798</v>
      </c>
      <c r="C22" s="47"/>
      <c r="D22" s="47"/>
      <c r="E22" s="47"/>
      <c r="F22" s="48"/>
    </row>
    <row r="23" spans="1:6" ht="18" customHeight="1" thickBot="1" x14ac:dyDescent="0.3">
      <c r="A23" s="51" t="s">
        <v>1799</v>
      </c>
      <c r="B23" s="52" t="s">
        <v>1800</v>
      </c>
      <c r="C23" s="52"/>
      <c r="D23" s="52"/>
      <c r="E23" s="52"/>
      <c r="F23" s="53"/>
    </row>
    <row r="24" spans="1:6" ht="18" customHeight="1" x14ac:dyDescent="0.25">
      <c r="A24" s="41" t="s">
        <v>1801</v>
      </c>
      <c r="B24" s="42" t="s">
        <v>1802</v>
      </c>
      <c r="C24" s="42"/>
      <c r="D24" s="42"/>
      <c r="E24" s="42"/>
      <c r="F24" s="43"/>
    </row>
    <row r="25" spans="1:6" ht="18" customHeight="1" x14ac:dyDescent="0.25">
      <c r="A25" s="44" t="s">
        <v>1801</v>
      </c>
      <c r="B25" s="1" t="s">
        <v>1803</v>
      </c>
      <c r="C25" s="1"/>
      <c r="D25" s="1"/>
      <c r="E25" s="1"/>
      <c r="F25" s="45"/>
    </row>
    <row r="26" spans="1:6" ht="18" customHeight="1" x14ac:dyDescent="0.25">
      <c r="A26" s="44" t="s">
        <v>1801</v>
      </c>
      <c r="B26" s="66" t="s">
        <v>1804</v>
      </c>
      <c r="C26" s="66"/>
      <c r="D26" s="66"/>
      <c r="E26" s="66"/>
      <c r="F26" s="45"/>
    </row>
    <row r="27" spans="1:6" ht="18" customHeight="1" thickBot="1" x14ac:dyDescent="0.3">
      <c r="A27" s="46" t="s">
        <v>1801</v>
      </c>
      <c r="B27" s="47" t="s">
        <v>1805</v>
      </c>
      <c r="C27" s="47"/>
      <c r="D27" s="47"/>
      <c r="E27" s="47"/>
      <c r="F27" s="48"/>
    </row>
    <row r="28" spans="1:6" ht="18" customHeight="1" x14ac:dyDescent="0.25">
      <c r="A28" s="41" t="s">
        <v>1806</v>
      </c>
      <c r="B28" s="42" t="s">
        <v>1807</v>
      </c>
      <c r="C28" s="42"/>
      <c r="D28" s="42"/>
      <c r="E28" s="42"/>
      <c r="F28" s="43"/>
    </row>
    <row r="29" spans="1:6" ht="18" customHeight="1" x14ac:dyDescent="0.25">
      <c r="A29" s="69"/>
      <c r="B29" s="71" t="s">
        <v>1863</v>
      </c>
      <c r="C29" s="72"/>
      <c r="D29" s="72"/>
      <c r="E29" s="73"/>
      <c r="F29" s="70"/>
    </row>
    <row r="30" spans="1:6" ht="18" customHeight="1" x14ac:dyDescent="0.25">
      <c r="A30" s="44" t="s">
        <v>1806</v>
      </c>
      <c r="B30" s="1" t="s">
        <v>1808</v>
      </c>
      <c r="C30" s="1"/>
      <c r="D30" s="1"/>
      <c r="E30" s="1"/>
      <c r="F30" s="45"/>
    </row>
    <row r="31" spans="1:6" ht="18" customHeight="1" x14ac:dyDescent="0.25">
      <c r="A31" s="44" t="s">
        <v>1806</v>
      </c>
      <c r="B31" s="1" t="s">
        <v>1809</v>
      </c>
      <c r="C31" s="1"/>
      <c r="D31" s="1"/>
      <c r="E31" s="1"/>
      <c r="F31" s="45"/>
    </row>
    <row r="32" spans="1:6" ht="18" customHeight="1" x14ac:dyDescent="0.25">
      <c r="A32" s="44" t="s">
        <v>1806</v>
      </c>
      <c r="B32" s="1" t="s">
        <v>1810</v>
      </c>
      <c r="C32" s="1"/>
      <c r="D32" s="1"/>
      <c r="E32" s="1"/>
      <c r="F32" s="45"/>
    </row>
    <row r="33" spans="1:6" ht="18" customHeight="1" x14ac:dyDescent="0.25">
      <c r="A33" s="44" t="s">
        <v>1806</v>
      </c>
      <c r="B33" s="1" t="s">
        <v>1811</v>
      </c>
      <c r="C33" s="1"/>
      <c r="D33" s="1"/>
      <c r="E33" s="1"/>
      <c r="F33" s="45"/>
    </row>
    <row r="34" spans="1:6" ht="18" customHeight="1" x14ac:dyDescent="0.25">
      <c r="A34" s="67"/>
      <c r="B34" s="71" t="s">
        <v>1862</v>
      </c>
      <c r="C34" s="72"/>
      <c r="D34" s="72"/>
      <c r="E34" s="73"/>
      <c r="F34" s="68"/>
    </row>
    <row r="35" spans="1:6" ht="18" customHeight="1" thickBot="1" x14ac:dyDescent="0.3">
      <c r="A35" s="46" t="s">
        <v>1806</v>
      </c>
      <c r="B35" s="47" t="s">
        <v>1812</v>
      </c>
      <c r="C35" s="47"/>
      <c r="D35" s="47"/>
      <c r="E35" s="47"/>
      <c r="F35" s="48"/>
    </row>
    <row r="36" spans="1:6" ht="18" customHeight="1" x14ac:dyDescent="0.25">
      <c r="A36" s="41" t="s">
        <v>1813</v>
      </c>
      <c r="B36" s="42" t="s">
        <v>1814</v>
      </c>
      <c r="C36" s="42"/>
      <c r="D36" s="42"/>
      <c r="E36" s="42"/>
      <c r="F36" s="43"/>
    </row>
    <row r="37" spans="1:6" ht="18" customHeight="1" x14ac:dyDescent="0.25">
      <c r="A37" s="44" t="s">
        <v>1813</v>
      </c>
      <c r="B37" s="1" t="s">
        <v>1815</v>
      </c>
      <c r="C37" s="1"/>
      <c r="D37" s="1"/>
      <c r="E37" s="1"/>
      <c r="F37" s="45"/>
    </row>
    <row r="38" spans="1:6" ht="18" customHeight="1" x14ac:dyDescent="0.25">
      <c r="A38" s="44" t="s">
        <v>1813</v>
      </c>
      <c r="B38" s="1" t="s">
        <v>1816</v>
      </c>
      <c r="C38" s="1"/>
      <c r="D38" s="1"/>
      <c r="E38" s="1"/>
      <c r="F38" s="45"/>
    </row>
    <row r="39" spans="1:6" ht="18" customHeight="1" thickBot="1" x14ac:dyDescent="0.3">
      <c r="A39" s="46" t="s">
        <v>1813</v>
      </c>
      <c r="B39" s="47" t="s">
        <v>1817</v>
      </c>
      <c r="C39" s="47"/>
      <c r="D39" s="47"/>
      <c r="E39" s="47"/>
      <c r="F39" s="48"/>
    </row>
    <row r="40" spans="1:6" ht="18" customHeight="1" x14ac:dyDescent="0.25">
      <c r="A40" s="51" t="s">
        <v>1818</v>
      </c>
      <c r="B40" s="52" t="s">
        <v>1819</v>
      </c>
      <c r="C40" s="52"/>
      <c r="D40" s="52"/>
      <c r="E40" s="52"/>
      <c r="F40" s="53"/>
    </row>
    <row r="41" spans="1:6" x14ac:dyDescent="0.25">
      <c r="A41" s="55" t="s">
        <v>1851</v>
      </c>
      <c r="B41" s="56" t="s">
        <v>1852</v>
      </c>
      <c r="C41" s="56"/>
      <c r="D41" s="56"/>
      <c r="E41" s="56"/>
      <c r="F41" s="57"/>
    </row>
    <row r="42" spans="1:6" x14ac:dyDescent="0.25">
      <c r="A42" s="58"/>
      <c r="B42" s="56"/>
      <c r="C42" s="56"/>
      <c r="D42" s="56"/>
      <c r="E42" s="56"/>
      <c r="F42" s="57"/>
    </row>
    <row r="43" spans="1:6" x14ac:dyDescent="0.25">
      <c r="A43" s="58"/>
      <c r="B43" s="56"/>
      <c r="C43" s="56"/>
      <c r="D43" s="56"/>
      <c r="E43" s="56"/>
      <c r="F43" s="57"/>
    </row>
    <row r="44" spans="1:6" x14ac:dyDescent="0.25">
      <c r="A44" s="58"/>
      <c r="B44" s="56"/>
      <c r="C44" s="56"/>
      <c r="D44" s="56"/>
      <c r="E44" s="56"/>
      <c r="F44" s="57"/>
    </row>
    <row r="45" spans="1:6" x14ac:dyDescent="0.25">
      <c r="A45" s="58"/>
      <c r="B45" s="56"/>
      <c r="C45" s="56"/>
      <c r="D45" s="56"/>
      <c r="E45" s="56"/>
      <c r="F45" s="57"/>
    </row>
  </sheetData>
  <mergeCells count="35">
    <mergeCell ref="B43:E43"/>
    <mergeCell ref="B44:E44"/>
    <mergeCell ref="B45:E45"/>
    <mergeCell ref="B34:E34"/>
    <mergeCell ref="B29:E29"/>
    <mergeCell ref="B38:E38"/>
    <mergeCell ref="B39:E39"/>
    <mergeCell ref="B40:E40"/>
    <mergeCell ref="B41:E41"/>
    <mergeCell ref="B42:E42"/>
    <mergeCell ref="B32:E32"/>
    <mergeCell ref="B33:E33"/>
    <mergeCell ref="B35:E35"/>
    <mergeCell ref="B36:E36"/>
    <mergeCell ref="B37:E37"/>
    <mergeCell ref="B26:E26"/>
    <mergeCell ref="B27:E27"/>
    <mergeCell ref="B28:E28"/>
    <mergeCell ref="B30:E30"/>
    <mergeCell ref="B31:E31"/>
    <mergeCell ref="B21:E21"/>
    <mergeCell ref="B22:E22"/>
    <mergeCell ref="B23:E23"/>
    <mergeCell ref="B24:E24"/>
    <mergeCell ref="B25:E25"/>
    <mergeCell ref="B16:E16"/>
    <mergeCell ref="B17:E17"/>
    <mergeCell ref="B18:E18"/>
    <mergeCell ref="B19:E19"/>
    <mergeCell ref="B20:E20"/>
    <mergeCell ref="A1:F1"/>
    <mergeCell ref="A2:F2"/>
    <mergeCell ref="A4:F4"/>
    <mergeCell ref="A14:F14"/>
    <mergeCell ref="B15:E15"/>
  </mergeCells>
  <conditionalFormatting sqref="A16:F28 A41 F41:F45 A35:F40 A34:B34 F34 A30:F33 A29:B29 F29">
    <cfRule type="expression" dxfId="0" priority="2">
      <formula>$F16="✓"</formula>
    </cfRule>
  </conditionalFormatting>
  <dataValidations count="1">
    <dataValidation type="list" allowBlank="1" sqref="F16:F45" xr:uid="{00000000-0002-0000-0B00-000000000000}">
      <formula1>"✓"</formula1>
      <formula2>0</formula2>
    </dataValidation>
  </dataValidations>
  <pageMargins left="0.4" right="0.4" top="0.5" bottom="0.5"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19"/>
  <sheetViews>
    <sheetView zoomScale="90" zoomScaleNormal="90" workbookViewId="0">
      <selection sqref="A1:B1"/>
    </sheetView>
  </sheetViews>
  <sheetFormatPr defaultColWidth="8.7109375" defaultRowHeight="15" x14ac:dyDescent="0.25"/>
  <cols>
    <col min="1" max="1" width="70" customWidth="1"/>
    <col min="2" max="2" width="100" customWidth="1"/>
  </cols>
  <sheetData>
    <row r="1" spans="1:2" ht="21.75" customHeight="1" x14ac:dyDescent="0.3">
      <c r="A1" s="9" t="s">
        <v>1820</v>
      </c>
      <c r="B1" s="9"/>
    </row>
    <row r="2" spans="1:2" ht="15.75" customHeight="1" x14ac:dyDescent="0.25">
      <c r="A2" s="8" t="s">
        <v>1821</v>
      </c>
      <c r="B2" s="8"/>
    </row>
    <row r="4" spans="1:2" ht="19.5" customHeight="1" x14ac:dyDescent="0.25">
      <c r="A4" s="12" t="s">
        <v>5</v>
      </c>
      <c r="B4" s="12" t="s">
        <v>1822</v>
      </c>
    </row>
    <row r="5" spans="1:2" ht="18" customHeight="1" x14ac:dyDescent="0.25">
      <c r="A5" s="15" t="s">
        <v>1823</v>
      </c>
      <c r="B5" s="40" t="s">
        <v>1824</v>
      </c>
    </row>
    <row r="6" spans="1:2" ht="18" customHeight="1" x14ac:dyDescent="0.25">
      <c r="A6" s="15" t="s">
        <v>1825</v>
      </c>
      <c r="B6" s="40" t="s">
        <v>1826</v>
      </c>
    </row>
    <row r="7" spans="1:2" ht="18" customHeight="1" x14ac:dyDescent="0.25">
      <c r="A7" s="15" t="s">
        <v>1827</v>
      </c>
      <c r="B7" s="40" t="s">
        <v>1828</v>
      </c>
    </row>
    <row r="8" spans="1:2" ht="18" customHeight="1" x14ac:dyDescent="0.25">
      <c r="A8" s="15" t="s">
        <v>1829</v>
      </c>
      <c r="B8" s="40" t="s">
        <v>1830</v>
      </c>
    </row>
    <row r="9" spans="1:2" ht="18" customHeight="1" x14ac:dyDescent="0.25">
      <c r="A9" s="15" t="s">
        <v>1831</v>
      </c>
      <c r="B9" s="40" t="s">
        <v>1832</v>
      </c>
    </row>
    <row r="10" spans="1:2" ht="18" customHeight="1" x14ac:dyDescent="0.25">
      <c r="A10" s="15" t="s">
        <v>1833</v>
      </c>
      <c r="B10" s="40" t="s">
        <v>1834</v>
      </c>
    </row>
    <row r="11" spans="1:2" ht="18" customHeight="1" x14ac:dyDescent="0.25">
      <c r="A11" s="15" t="s">
        <v>1835</v>
      </c>
      <c r="B11" s="40" t="s">
        <v>1836</v>
      </c>
    </row>
    <row r="12" spans="1:2" ht="18" customHeight="1" x14ac:dyDescent="0.25">
      <c r="A12" s="15" t="s">
        <v>1837</v>
      </c>
      <c r="B12" s="40" t="s">
        <v>1838</v>
      </c>
    </row>
    <row r="13" spans="1:2" ht="18" customHeight="1" x14ac:dyDescent="0.25">
      <c r="A13" s="15" t="s">
        <v>1839</v>
      </c>
      <c r="B13" s="40" t="s">
        <v>1840</v>
      </c>
    </row>
    <row r="14" spans="1:2" ht="18" customHeight="1" x14ac:dyDescent="0.25">
      <c r="A14" s="15" t="s">
        <v>1841</v>
      </c>
      <c r="B14" s="40" t="s">
        <v>1842</v>
      </c>
    </row>
    <row r="15" spans="1:2" ht="18" customHeight="1" x14ac:dyDescent="0.25">
      <c r="A15" s="15" t="s">
        <v>1843</v>
      </c>
      <c r="B15" s="40" t="s">
        <v>1844</v>
      </c>
    </row>
    <row r="16" spans="1:2" ht="18" customHeight="1" x14ac:dyDescent="0.25">
      <c r="A16" s="15" t="s">
        <v>1845</v>
      </c>
      <c r="B16" s="40" t="s">
        <v>1846</v>
      </c>
    </row>
    <row r="17" spans="1:2" ht="18" customHeight="1" x14ac:dyDescent="0.25">
      <c r="A17" s="15" t="s">
        <v>1847</v>
      </c>
      <c r="B17" s="40" t="s">
        <v>1848</v>
      </c>
    </row>
    <row r="18" spans="1:2" ht="18" customHeight="1" x14ac:dyDescent="0.25">
      <c r="A18" s="15" t="s">
        <v>1849</v>
      </c>
      <c r="B18" s="15"/>
    </row>
    <row r="19" spans="1:2" ht="33" customHeight="1" x14ac:dyDescent="0.25">
      <c r="A19" s="15" t="s">
        <v>1850</v>
      </c>
      <c r="B19" s="15"/>
    </row>
  </sheetData>
  <mergeCells count="2">
    <mergeCell ref="A1:B1"/>
    <mergeCell ref="A2:B2"/>
  </mergeCells>
  <hyperlinks>
    <hyperlink ref="B5" r:id="rId1" xr:uid="{00000000-0004-0000-0C00-000000000000}"/>
    <hyperlink ref="B6" r:id="rId2" xr:uid="{00000000-0004-0000-0C00-000001000000}"/>
    <hyperlink ref="B7" r:id="rId3" xr:uid="{00000000-0004-0000-0C00-000002000000}"/>
    <hyperlink ref="B8" r:id="rId4" xr:uid="{00000000-0004-0000-0C00-000003000000}"/>
    <hyperlink ref="B9" r:id="rId5" xr:uid="{00000000-0004-0000-0C00-000004000000}"/>
    <hyperlink ref="B10" r:id="rId6" xr:uid="{00000000-0004-0000-0C00-000005000000}"/>
    <hyperlink ref="B11" r:id="rId7" xr:uid="{00000000-0004-0000-0C00-000006000000}"/>
    <hyperlink ref="B12" r:id="rId8" xr:uid="{00000000-0004-0000-0C00-000007000000}"/>
    <hyperlink ref="B13" r:id="rId9" xr:uid="{00000000-0004-0000-0C00-000008000000}"/>
    <hyperlink ref="B14" r:id="rId10" xr:uid="{00000000-0004-0000-0C00-000009000000}"/>
    <hyperlink ref="B15" r:id="rId11" xr:uid="{00000000-0004-0000-0C00-00000A000000}"/>
    <hyperlink ref="B16" r:id="rId12" xr:uid="{00000000-0004-0000-0C00-00000B000000}"/>
    <hyperlink ref="B17" r:id="rId13" xr:uid="{00000000-0004-0000-0C00-00000C000000}"/>
  </hyperlinks>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Việc cần làm</vt:lpstr>
      <vt:lpstr>Lịch trình chi tiết</vt:lpstr>
      <vt:lpstr>Vé &amp; đặt trước</vt:lpstr>
      <vt:lpstr>5 điểm cần nói</vt:lpstr>
      <vt:lpstr>Văn hóa &amp; lịch sử</vt:lpstr>
      <vt:lpstr>Ẩm thực</vt:lpstr>
      <vt:lpstr>Rượu vang &amp; bia</vt:lpstr>
      <vt:lpstr>Tiếng Anh</vt:lpstr>
      <vt:lpstr>Từ vựng 4 thứ tiếng</vt:lpstr>
      <vt:lpstr>Lộ trình học</vt:lpstr>
      <vt:lpstr>Chụp ảnh &amp; chạy bộ</vt:lpstr>
      <vt:lpstr>Thời tiết &amp; hành lý</vt:lpstr>
      <vt:lpstr>Nguồn</vt:lpstr>
      <vt:lpstr>'5 điểm cần nói'!Print_Titles</vt:lpstr>
      <vt:lpstr>'Ẩm thực'!Print_Titles</vt:lpstr>
      <vt:lpstr>'Lịch trình chi tiết'!Print_Titles</vt:lpstr>
      <vt:lpstr>'Lộ trình học'!Print_Titles</vt:lpstr>
      <vt:lpstr>Nguồn!Print_Titles</vt:lpstr>
      <vt:lpstr>'Rượu vang &amp; bia'!Print_Titles</vt:lpstr>
      <vt:lpstr>'Tiếng Anh'!Print_Titles</vt:lpstr>
      <vt:lpstr>'Từ vựng 4 thứ tiếng'!Print_Titles</vt:lpstr>
      <vt:lpstr>'Văn hóa &amp; lịch sử'!Print_Titles</vt:lpstr>
      <vt:lpstr>'Vé &amp; đặt trước'!Print_Titles</vt:lpstr>
      <vt:lpstr>'Việc cần làm'!Print_Titles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Xuân Đức</cp:lastModifiedBy>
  <cp:revision>0</cp:revision>
  <dcterms:created xsi:type="dcterms:W3CDTF">2026-10-09T05:09:31Z</dcterms:created>
  <dcterms:modified xsi:type="dcterms:W3CDTF">2026-10-09T06:05:30Z</dcterms:modified>
  <dc:language>en-US</dc:language>
</cp:coreProperties>
</file>